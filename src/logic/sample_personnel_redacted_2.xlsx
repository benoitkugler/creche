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8_{37C21F44-1188-4D3C-8527-A49EA6F86E3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G32" i="1"/>
  <c r="D32" i="1"/>
  <c r="D88" i="1" l="1"/>
  <c r="D51" i="1"/>
  <c r="P32" i="1"/>
  <c r="M32" i="1"/>
  <c r="J32" i="1"/>
  <c r="P29" i="1"/>
  <c r="M29" i="1"/>
  <c r="J29" i="1"/>
  <c r="G29" i="1"/>
  <c r="D29" i="1"/>
  <c r="P26" i="1"/>
  <c r="M26" i="1"/>
  <c r="J26" i="1"/>
  <c r="G26" i="1"/>
  <c r="D26" i="1"/>
  <c r="P23" i="1"/>
  <c r="M23" i="1"/>
  <c r="J23" i="1"/>
  <c r="G23" i="1"/>
  <c r="P5" i="1"/>
  <c r="J8" i="1"/>
  <c r="M5" i="1" l="1"/>
  <c r="P94" i="1"/>
  <c r="M94" i="1"/>
  <c r="J94" i="1"/>
  <c r="G94" i="1"/>
  <c r="D94" i="1"/>
  <c r="P91" i="1"/>
  <c r="M91" i="1"/>
  <c r="G91" i="1"/>
  <c r="P88" i="1"/>
  <c r="M88" i="1"/>
  <c r="G88" i="1"/>
  <c r="P85" i="1"/>
  <c r="M85" i="1"/>
  <c r="J85" i="1"/>
  <c r="G85" i="1"/>
  <c r="D85" i="1"/>
  <c r="P82" i="1"/>
  <c r="M82" i="1"/>
  <c r="J82" i="1"/>
  <c r="G82" i="1"/>
  <c r="D82" i="1"/>
  <c r="P48" i="1"/>
  <c r="P35" i="1" l="1"/>
  <c r="M35" i="1"/>
  <c r="J35" i="1"/>
  <c r="G35" i="1"/>
  <c r="D35" i="1"/>
  <c r="Q23" i="1"/>
  <c r="Q29" i="1" l="1"/>
  <c r="Q35" i="1"/>
  <c r="Q26" i="1"/>
  <c r="Q32" i="1"/>
  <c r="P73" i="1" l="1"/>
  <c r="M73" i="1"/>
  <c r="J73" i="1"/>
  <c r="G73" i="1"/>
  <c r="D73" i="1"/>
  <c r="P70" i="1"/>
  <c r="M70" i="1"/>
  <c r="J70" i="1"/>
  <c r="G70" i="1"/>
  <c r="P67" i="1"/>
  <c r="M67" i="1"/>
  <c r="J67" i="1"/>
  <c r="G67" i="1"/>
  <c r="P64" i="1"/>
  <c r="M64" i="1"/>
  <c r="J64" i="1"/>
  <c r="G64" i="1"/>
  <c r="D64" i="1"/>
  <c r="P61" i="1"/>
  <c r="M61" i="1"/>
  <c r="J61" i="1"/>
  <c r="G61" i="1"/>
  <c r="D61" i="1"/>
  <c r="P54" i="1"/>
  <c r="M54" i="1"/>
  <c r="J54" i="1"/>
  <c r="D54" i="1"/>
  <c r="P51" i="1"/>
  <c r="M51" i="1"/>
  <c r="J51" i="1"/>
  <c r="M48" i="1"/>
  <c r="J48" i="1"/>
  <c r="D48" i="1"/>
  <c r="P45" i="1"/>
  <c r="M45" i="1"/>
  <c r="J45" i="1"/>
  <c r="D45" i="1"/>
  <c r="P42" i="1"/>
  <c r="M42" i="1"/>
  <c r="J42" i="1"/>
  <c r="D42" i="1"/>
  <c r="Q64" i="1" l="1"/>
  <c r="Q61" i="1"/>
  <c r="Q70" i="1"/>
  <c r="Q67" i="1"/>
  <c r="Q73" i="1"/>
  <c r="Q48" i="1"/>
  <c r="Q54" i="1"/>
  <c r="Q42" i="1"/>
  <c r="Q45" i="1"/>
  <c r="Q51" i="1"/>
  <c r="P17" i="1"/>
  <c r="M17" i="1"/>
  <c r="J17" i="1"/>
  <c r="G17" i="1"/>
  <c r="D17" i="1"/>
  <c r="P14" i="1"/>
  <c r="M14" i="1"/>
  <c r="J14" i="1"/>
  <c r="G14" i="1"/>
  <c r="D14" i="1"/>
  <c r="P11" i="1"/>
  <c r="M11" i="1"/>
  <c r="J11" i="1"/>
  <c r="G11" i="1"/>
  <c r="D11" i="1"/>
  <c r="P8" i="1"/>
  <c r="M8" i="1"/>
  <c r="G8" i="1"/>
  <c r="D8" i="1"/>
  <c r="J5" i="1"/>
  <c r="G5" i="1"/>
  <c r="D5" i="1"/>
  <c r="Q5" i="1" l="1"/>
  <c r="Q17" i="1"/>
  <c r="Q8" i="1"/>
  <c r="Q14" i="1"/>
  <c r="Q11" i="1"/>
</calcChain>
</file>

<file path=xl/sharedStrings.xml><?xml version="1.0" encoding="utf-8"?>
<sst xmlns="http://schemas.openxmlformats.org/spreadsheetml/2006/main" count="131" uniqueCount="42">
  <si>
    <t>Lundi</t>
  </si>
  <si>
    <t>Mardi</t>
  </si>
  <si>
    <t>Mercredi</t>
  </si>
  <si>
    <t>Jeudi</t>
  </si>
  <si>
    <t>Vendredi</t>
  </si>
  <si>
    <t>Ilona R.</t>
  </si>
  <si>
    <t>pauses</t>
  </si>
  <si>
    <t>13:00</t>
  </si>
  <si>
    <t>Ghénima</t>
  </si>
  <si>
    <t>Magali M.</t>
  </si>
  <si>
    <t>Léanne C.</t>
  </si>
  <si>
    <t>14h30-15h30</t>
  </si>
  <si>
    <t>Audrey B.</t>
  </si>
  <si>
    <t>15h30-16h30</t>
  </si>
  <si>
    <t>15h-16h</t>
  </si>
  <si>
    <t>Réunion 13h30</t>
  </si>
  <si>
    <t>Semaine 3 du 29/09 au 03/10/25</t>
  </si>
  <si>
    <t>Semaine 2 du 20 au 24/10/25</t>
  </si>
  <si>
    <t>Semaine 3 du 27 au 31/10/25</t>
  </si>
  <si>
    <t>Intérim</t>
  </si>
  <si>
    <t>APP</t>
  </si>
  <si>
    <t>+17h30-19h30</t>
  </si>
  <si>
    <t>14h-15h</t>
  </si>
  <si>
    <t>09h30-13h</t>
  </si>
  <si>
    <t>18h-19h30</t>
  </si>
  <si>
    <t>Sara</t>
  </si>
  <si>
    <t>10h-11h</t>
  </si>
  <si>
    <t>+18h-19h30</t>
  </si>
  <si>
    <t>14h15-15h15</t>
  </si>
  <si>
    <t>32:45:00</t>
  </si>
  <si>
    <t>34:45:00</t>
  </si>
  <si>
    <t>32:30:00</t>
  </si>
  <si>
    <t>Réunion parents ?</t>
  </si>
  <si>
    <t>Planning du personnel - MCHEM - NOV 2025</t>
  </si>
  <si>
    <t>Semaine 4 du 03 au 07/11/25</t>
  </si>
  <si>
    <t>Semaine 1 du 10 au 14/11/25</t>
  </si>
  <si>
    <t>A° Jaden</t>
  </si>
  <si>
    <t>09h30-11h</t>
  </si>
  <si>
    <t>09h-11h30</t>
  </si>
  <si>
    <t>Férié</t>
  </si>
  <si>
    <r>
      <t xml:space="preserve">11h-17h / </t>
    </r>
    <r>
      <rPr>
        <sz val="11"/>
        <color rgb="FF00B050"/>
        <rFont val="Calibri"/>
        <family val="2"/>
      </rPr>
      <t>14h30-15h30</t>
    </r>
  </si>
  <si>
    <t>09h-10h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</si>
</sst>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h]:mm:ss;@"/>
  </numFmts>
  <fonts count="2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name val="Calibri"/>
      <family val="2"/>
    </font>
    <font>
      <sz val="10.5"/>
      <name val="Calibri"/>
      <family val="2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Times New Roman"/>
      <family val="1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C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Times New Roman"/>
      <family val="1"/>
    </font>
    <font>
      <sz val="10"/>
      <color rgb="FFFF0000"/>
      <name val="Times New Roman"/>
      <family val="1"/>
    </font>
    <font>
      <b/>
      <sz val="11"/>
      <color rgb="FFFF0000"/>
      <name val="Times New Roman"/>
      <family val="1"/>
    </font>
    <font>
      <b/>
      <sz val="10"/>
      <color rgb="FFFF0000"/>
      <name val="Times New Roman"/>
      <family val="1"/>
    </font>
    <font>
      <sz val="10"/>
      <color rgb="FF000000"/>
      <name val="Times New Roman"/>
      <family val="1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9999"/>
      </patternFill>
    </fill>
    <fill>
      <patternFill patternType="solid">
        <fgColor rgb="FFB3C6E6"/>
      </patternFill>
    </fill>
    <fill>
      <patternFill patternType="solid">
        <fgColor rgb="FFCCFF99"/>
      </patternFill>
    </fill>
    <fill>
      <patternFill patternType="solid">
        <fgColor rgb="FFFFFF66"/>
      </patternFill>
    </fill>
    <fill>
      <patternFill patternType="solid">
        <fgColor rgb="FFCC99FF"/>
      </patternFill>
    </fill>
    <fill>
      <patternFill patternType="solid">
        <fgColor rgb="FFFF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</fills>
  <borders count="46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 wrapText="1"/>
    </xf>
    <xf numFmtId="0" fontId="8" fillId="0" borderId="1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8" fillId="0" borderId="4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9" fillId="0" borderId="17" xfId="0" applyFont="1" applyBorder="1" applyAlignment="1">
      <alignment vertical="top" wrapText="1"/>
    </xf>
    <xf numFmtId="164" fontId="8" fillId="0" borderId="4" xfId="0" applyNumberFormat="1" applyFont="1" applyBorder="1" applyAlignment="1">
      <alignment horizontal="center" vertical="center" wrapText="1"/>
    </xf>
    <xf numFmtId="20" fontId="12" fillId="3" borderId="3" xfId="0" applyNumberFormat="1" applyFont="1" applyFill="1" applyBorder="1" applyAlignment="1">
      <alignment horizontal="center" vertical="center" wrapText="1"/>
    </xf>
    <xf numFmtId="20" fontId="12" fillId="3" borderId="5" xfId="0" applyNumberFormat="1" applyFont="1" applyFill="1" applyBorder="1" applyAlignment="1">
      <alignment horizontal="center" vertical="center" wrapText="1"/>
    </xf>
    <xf numFmtId="20" fontId="9" fillId="2" borderId="3" xfId="0" applyNumberFormat="1" applyFont="1" applyFill="1" applyBorder="1" applyAlignment="1">
      <alignment horizontal="center" vertical="center" wrapText="1"/>
    </xf>
    <xf numFmtId="20" fontId="9" fillId="2" borderId="5" xfId="0" applyNumberFormat="1" applyFont="1" applyFill="1" applyBorder="1" applyAlignment="1">
      <alignment horizontal="center" vertical="center" wrapText="1"/>
    </xf>
    <xf numFmtId="20" fontId="9" fillId="2" borderId="11" xfId="0" applyNumberFormat="1" applyFont="1" applyFill="1" applyBorder="1" applyAlignment="1">
      <alignment horizontal="center" vertical="center" wrapText="1"/>
    </xf>
    <xf numFmtId="20" fontId="9" fillId="2" borderId="13" xfId="0" applyNumberFormat="1" applyFont="1" applyFill="1" applyBorder="1" applyAlignment="1">
      <alignment horizontal="center" vertical="center" wrapText="1"/>
    </xf>
    <xf numFmtId="20" fontId="9" fillId="2" borderId="15" xfId="0" applyNumberFormat="1" applyFont="1" applyFill="1" applyBorder="1" applyAlignment="1">
      <alignment horizontal="center" vertical="center" wrapText="1"/>
    </xf>
    <xf numFmtId="20" fontId="9" fillId="2" borderId="16" xfId="0" applyNumberFormat="1" applyFont="1" applyFill="1" applyBorder="1" applyAlignment="1">
      <alignment horizontal="center" vertical="center" wrapText="1"/>
    </xf>
    <xf numFmtId="20" fontId="9" fillId="2" borderId="18" xfId="0" applyNumberFormat="1" applyFont="1" applyFill="1" applyBorder="1" applyAlignment="1">
      <alignment horizontal="center" vertical="center" wrapText="1"/>
    </xf>
    <xf numFmtId="20" fontId="9" fillId="2" borderId="19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vertical="center" wrapText="1"/>
    </xf>
    <xf numFmtId="0" fontId="12" fillId="3" borderId="2" xfId="0" applyFont="1" applyFill="1" applyBorder="1" applyAlignment="1">
      <alignment horizontal="center" vertical="center" wrapText="1"/>
    </xf>
    <xf numFmtId="164" fontId="8" fillId="0" borderId="4" xfId="0" applyNumberFormat="1" applyFont="1" applyBorder="1" applyAlignment="1">
      <alignment vertical="center" wrapText="1"/>
    </xf>
    <xf numFmtId="0" fontId="9" fillId="4" borderId="2" xfId="0" applyFont="1" applyFill="1" applyBorder="1" applyAlignment="1">
      <alignment horizontal="center" vertical="center" wrapText="1"/>
    </xf>
    <xf numFmtId="20" fontId="9" fillId="4" borderId="11" xfId="0" applyNumberFormat="1" applyFont="1" applyFill="1" applyBorder="1" applyAlignment="1">
      <alignment horizontal="center" vertical="center" wrapText="1"/>
    </xf>
    <xf numFmtId="20" fontId="9" fillId="4" borderId="13" xfId="0" applyNumberFormat="1" applyFont="1" applyFill="1" applyBorder="1" applyAlignment="1">
      <alignment horizontal="center" vertical="center" wrapText="1"/>
    </xf>
    <xf numFmtId="20" fontId="9" fillId="4" borderId="18" xfId="0" applyNumberFormat="1" applyFont="1" applyFill="1" applyBorder="1" applyAlignment="1">
      <alignment horizontal="center" vertical="center" wrapText="1"/>
    </xf>
    <xf numFmtId="20" fontId="9" fillId="4" borderId="19" xfId="0" applyNumberFormat="1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20" fontId="9" fillId="5" borderId="11" xfId="0" applyNumberFormat="1" applyFont="1" applyFill="1" applyBorder="1" applyAlignment="1">
      <alignment horizontal="center" vertical="center" wrapText="1"/>
    </xf>
    <xf numFmtId="20" fontId="9" fillId="5" borderId="13" xfId="0" applyNumberFormat="1" applyFont="1" applyFill="1" applyBorder="1" applyAlignment="1">
      <alignment horizontal="center" vertical="center" wrapText="1"/>
    </xf>
    <xf numFmtId="20" fontId="9" fillId="5" borderId="18" xfId="0" applyNumberFormat="1" applyFont="1" applyFill="1" applyBorder="1" applyAlignment="1">
      <alignment horizontal="center" vertical="center" wrapText="1"/>
    </xf>
    <xf numFmtId="20" fontId="9" fillId="5" borderId="19" xfId="0" applyNumberFormat="1" applyFont="1" applyFill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164" fontId="9" fillId="0" borderId="4" xfId="0" applyNumberFormat="1" applyFont="1" applyBorder="1" applyAlignment="1">
      <alignment vertical="center" wrapText="1"/>
    </xf>
    <xf numFmtId="0" fontId="9" fillId="6" borderId="2" xfId="0" applyFont="1" applyFill="1" applyBorder="1" applyAlignment="1">
      <alignment horizontal="center" vertical="center" wrapText="1"/>
    </xf>
    <xf numFmtId="20" fontId="9" fillId="6" borderId="11" xfId="0" applyNumberFormat="1" applyFont="1" applyFill="1" applyBorder="1" applyAlignment="1">
      <alignment horizontal="center" vertical="center" wrapText="1"/>
    </xf>
    <xf numFmtId="20" fontId="9" fillId="6" borderId="13" xfId="0" applyNumberFormat="1" applyFont="1" applyFill="1" applyBorder="1" applyAlignment="1">
      <alignment horizontal="center" vertical="center" wrapText="1"/>
    </xf>
    <xf numFmtId="20" fontId="9" fillId="6" borderId="18" xfId="0" applyNumberFormat="1" applyFont="1" applyFill="1" applyBorder="1" applyAlignment="1">
      <alignment horizontal="center" vertical="center" wrapText="1"/>
    </xf>
    <xf numFmtId="20" fontId="9" fillId="6" borderId="19" xfId="0" applyNumberFormat="1" applyFont="1" applyFill="1" applyBorder="1" applyAlignment="1">
      <alignment horizontal="center" vertical="center" wrapText="1"/>
    </xf>
    <xf numFmtId="20" fontId="12" fillId="3" borderId="11" xfId="0" applyNumberFormat="1" applyFont="1" applyFill="1" applyBorder="1" applyAlignment="1">
      <alignment horizontal="center" vertical="center" wrapText="1"/>
    </xf>
    <xf numFmtId="20" fontId="12" fillId="3" borderId="13" xfId="0" applyNumberFormat="1" applyFont="1" applyFill="1" applyBorder="1" applyAlignment="1">
      <alignment horizontal="center" vertical="center" wrapText="1"/>
    </xf>
    <xf numFmtId="20" fontId="12" fillId="3" borderId="18" xfId="0" applyNumberFormat="1" applyFont="1" applyFill="1" applyBorder="1" applyAlignment="1">
      <alignment horizontal="center" vertical="center" wrapText="1"/>
    </xf>
    <xf numFmtId="20" fontId="12" fillId="3" borderId="19" xfId="0" applyNumberFormat="1" applyFont="1" applyFill="1" applyBorder="1" applyAlignment="1">
      <alignment horizontal="center" vertical="center" wrapText="1"/>
    </xf>
    <xf numFmtId="164" fontId="9" fillId="4" borderId="3" xfId="0" applyNumberFormat="1" applyFont="1" applyFill="1" applyBorder="1" applyAlignment="1">
      <alignment horizontal="center" vertical="center" wrapText="1"/>
    </xf>
    <xf numFmtId="164" fontId="9" fillId="4" borderId="5" xfId="0" applyNumberFormat="1" applyFont="1" applyFill="1" applyBorder="1" applyAlignment="1">
      <alignment horizontal="center" vertical="center" wrapText="1"/>
    </xf>
    <xf numFmtId="164" fontId="9" fillId="5" borderId="3" xfId="0" applyNumberFormat="1" applyFont="1" applyFill="1" applyBorder="1" applyAlignment="1">
      <alignment horizontal="center" vertical="center" wrapText="1"/>
    </xf>
    <xf numFmtId="164" fontId="9" fillId="5" borderId="5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center" vertical="center" wrapText="1"/>
    </xf>
    <xf numFmtId="164" fontId="9" fillId="6" borderId="5" xfId="0" applyNumberFormat="1" applyFont="1" applyFill="1" applyBorder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2" fillId="0" borderId="4" xfId="0" applyFont="1" applyBorder="1" applyAlignment="1">
      <alignment horizontal="center" vertical="center" wrapText="1"/>
    </xf>
    <xf numFmtId="49" fontId="12" fillId="0" borderId="4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horizontal="left" wrapText="1"/>
    </xf>
    <xf numFmtId="0" fontId="15" fillId="0" borderId="0" xfId="0" applyFont="1" applyAlignment="1">
      <alignment horizontal="left" vertical="top"/>
    </xf>
    <xf numFmtId="49" fontId="14" fillId="0" borderId="4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top" wrapText="1"/>
    </xf>
    <xf numFmtId="20" fontId="3" fillId="7" borderId="11" xfId="0" applyNumberFormat="1" applyFont="1" applyFill="1" applyBorder="1" applyAlignment="1">
      <alignment horizontal="center" vertical="center"/>
    </xf>
    <xf numFmtId="20" fontId="3" fillId="7" borderId="12" xfId="0" applyNumberFormat="1" applyFont="1" applyFill="1" applyBorder="1" applyAlignment="1">
      <alignment horizontal="center" vertical="center"/>
    </xf>
    <xf numFmtId="20" fontId="3" fillId="7" borderId="15" xfId="0" applyNumberFormat="1" applyFont="1" applyFill="1" applyBorder="1" applyAlignment="1">
      <alignment horizontal="center" vertical="center"/>
    </xf>
    <xf numFmtId="20" fontId="3" fillId="7" borderId="13" xfId="0" applyNumberFormat="1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20" fontId="13" fillId="8" borderId="11" xfId="0" applyNumberFormat="1" applyFont="1" applyFill="1" applyBorder="1" applyAlignment="1">
      <alignment horizontal="center" vertical="center"/>
    </xf>
    <xf numFmtId="20" fontId="13" fillId="8" borderId="13" xfId="0" applyNumberFormat="1" applyFont="1" applyFill="1" applyBorder="1" applyAlignment="1">
      <alignment horizontal="center" vertical="center"/>
    </xf>
    <xf numFmtId="20" fontId="3" fillId="8" borderId="13" xfId="0" applyNumberFormat="1" applyFont="1" applyFill="1" applyBorder="1" applyAlignment="1">
      <alignment horizontal="center" vertical="center"/>
    </xf>
    <xf numFmtId="20" fontId="3" fillId="8" borderId="11" xfId="0" applyNumberFormat="1" applyFont="1" applyFill="1" applyBorder="1" applyAlignment="1">
      <alignment horizontal="center" vertical="center"/>
    </xf>
    <xf numFmtId="20" fontId="3" fillId="8" borderId="12" xfId="0" applyNumberFormat="1" applyFont="1" applyFill="1" applyBorder="1" applyAlignment="1">
      <alignment horizontal="center" vertical="center"/>
    </xf>
    <xf numFmtId="20" fontId="3" fillId="8" borderId="18" xfId="0" applyNumberFormat="1" applyFont="1" applyFill="1" applyBorder="1" applyAlignment="1">
      <alignment horizontal="center" vertical="center"/>
    </xf>
    <xf numFmtId="20" fontId="3" fillId="8" borderId="25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20" fontId="13" fillId="9" borderId="15" xfId="0" applyNumberFormat="1" applyFont="1" applyFill="1" applyBorder="1" applyAlignment="1">
      <alignment horizontal="center" vertical="center"/>
    </xf>
    <xf numFmtId="20" fontId="13" fillId="9" borderId="16" xfId="0" applyNumberFormat="1" applyFont="1" applyFill="1" applyBorder="1" applyAlignment="1">
      <alignment horizontal="center" vertical="center"/>
    </xf>
    <xf numFmtId="20" fontId="13" fillId="9" borderId="11" xfId="0" applyNumberFormat="1" applyFont="1" applyFill="1" applyBorder="1" applyAlignment="1">
      <alignment horizontal="center" vertical="center"/>
    </xf>
    <xf numFmtId="20" fontId="13" fillId="9" borderId="13" xfId="0" applyNumberFormat="1" applyFont="1" applyFill="1" applyBorder="1" applyAlignment="1">
      <alignment horizontal="center" vertical="center"/>
    </xf>
    <xf numFmtId="20" fontId="13" fillId="9" borderId="12" xfId="0" applyNumberFormat="1" applyFont="1" applyFill="1" applyBorder="1" applyAlignment="1">
      <alignment horizontal="center" vertical="center"/>
    </xf>
    <xf numFmtId="20" fontId="13" fillId="9" borderId="23" xfId="0" applyNumberFormat="1" applyFont="1" applyFill="1" applyBorder="1" applyAlignment="1">
      <alignment horizontal="center" vertical="center"/>
    </xf>
    <xf numFmtId="20" fontId="3" fillId="9" borderId="11" xfId="0" applyNumberFormat="1" applyFont="1" applyFill="1" applyBorder="1" applyAlignment="1">
      <alignment horizontal="center" vertical="center"/>
    </xf>
    <xf numFmtId="20" fontId="3" fillId="9" borderId="13" xfId="0" applyNumberFormat="1" applyFont="1" applyFill="1" applyBorder="1" applyAlignment="1">
      <alignment horizontal="center" vertical="center"/>
    </xf>
    <xf numFmtId="20" fontId="3" fillId="9" borderId="12" xfId="0" applyNumberFormat="1" applyFont="1" applyFill="1" applyBorder="1" applyAlignment="1">
      <alignment horizontal="center" vertical="center"/>
    </xf>
    <xf numFmtId="20" fontId="3" fillId="9" borderId="25" xfId="0" applyNumberFormat="1" applyFont="1" applyFill="1" applyBorder="1" applyAlignment="1">
      <alignment horizontal="center" vertical="center"/>
    </xf>
    <xf numFmtId="20" fontId="3" fillId="0" borderId="12" xfId="0" applyNumberFormat="1" applyFont="1" applyBorder="1" applyAlignment="1">
      <alignment horizontal="center" vertical="center"/>
    </xf>
    <xf numFmtId="20" fontId="13" fillId="10" borderId="16" xfId="0" applyNumberFormat="1" applyFont="1" applyFill="1" applyBorder="1" applyAlignment="1">
      <alignment horizontal="center" vertical="center"/>
    </xf>
    <xf numFmtId="20" fontId="3" fillId="10" borderId="12" xfId="0" applyNumberFormat="1" applyFont="1" applyFill="1" applyBorder="1" applyAlignment="1">
      <alignment horizontal="center" vertical="center"/>
    </xf>
    <xf numFmtId="20" fontId="3" fillId="10" borderId="11" xfId="0" applyNumberFormat="1" applyFont="1" applyFill="1" applyBorder="1" applyAlignment="1">
      <alignment horizontal="center" vertical="center"/>
    </xf>
    <xf numFmtId="20" fontId="3" fillId="10" borderId="13" xfId="0" applyNumberFormat="1" applyFont="1" applyFill="1" applyBorder="1" applyAlignment="1">
      <alignment horizontal="center" vertical="center"/>
    </xf>
    <xf numFmtId="20" fontId="3" fillId="10" borderId="25" xfId="0" applyNumberFormat="1" applyFont="1" applyFill="1" applyBorder="1" applyAlignment="1">
      <alignment horizontal="center" vertical="center"/>
    </xf>
    <xf numFmtId="0" fontId="3" fillId="11" borderId="0" xfId="0" applyFont="1" applyFill="1" applyAlignment="1">
      <alignment vertical="center"/>
    </xf>
    <xf numFmtId="20" fontId="13" fillId="12" borderId="15" xfId="0" applyNumberFormat="1" applyFont="1" applyFill="1" applyBorder="1" applyAlignment="1">
      <alignment horizontal="center" vertical="center"/>
    </xf>
    <xf numFmtId="20" fontId="13" fillId="12" borderId="16" xfId="0" applyNumberFormat="1" applyFont="1" applyFill="1" applyBorder="1" applyAlignment="1">
      <alignment horizontal="center" vertical="center"/>
    </xf>
    <xf numFmtId="20" fontId="3" fillId="12" borderId="11" xfId="0" applyNumberFormat="1" applyFont="1" applyFill="1" applyBorder="1" applyAlignment="1">
      <alignment horizontal="center" vertical="center"/>
    </xf>
    <xf numFmtId="20" fontId="3" fillId="12" borderId="13" xfId="0" applyNumberFormat="1" applyFont="1" applyFill="1" applyBorder="1" applyAlignment="1">
      <alignment horizontal="center" vertical="center"/>
    </xf>
    <xf numFmtId="20" fontId="3" fillId="12" borderId="18" xfId="0" applyNumberFormat="1" applyFont="1" applyFill="1" applyBorder="1" applyAlignment="1">
      <alignment horizontal="center" vertical="center"/>
    </xf>
    <xf numFmtId="20" fontId="3" fillId="12" borderId="19" xfId="0" applyNumberFormat="1" applyFont="1" applyFill="1" applyBorder="1" applyAlignment="1">
      <alignment horizontal="center" vertical="center"/>
    </xf>
    <xf numFmtId="20" fontId="3" fillId="12" borderId="25" xfId="0" applyNumberFormat="1" applyFont="1" applyFill="1" applyBorder="1" applyAlignment="1">
      <alignment horizontal="center" vertical="center"/>
    </xf>
    <xf numFmtId="20" fontId="13" fillId="10" borderId="15" xfId="0" applyNumberFormat="1" applyFont="1" applyFill="1" applyBorder="1" applyAlignment="1">
      <alignment horizontal="center" vertical="center"/>
    </xf>
    <xf numFmtId="20" fontId="3" fillId="10" borderId="18" xfId="0" applyNumberFormat="1" applyFont="1" applyFill="1" applyBorder="1" applyAlignment="1">
      <alignment horizontal="center" vertical="center"/>
    </xf>
    <xf numFmtId="2" fontId="12" fillId="0" borderId="5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left" wrapText="1"/>
    </xf>
    <xf numFmtId="2" fontId="13" fillId="0" borderId="5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2" fillId="11" borderId="0" xfId="0" applyFont="1" applyFill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horizontal="left" vertical="top"/>
    </xf>
    <xf numFmtId="20" fontId="19" fillId="2" borderId="11" xfId="0" applyNumberFormat="1" applyFont="1" applyFill="1" applyBorder="1" applyAlignment="1">
      <alignment horizontal="center" vertical="center" wrapText="1"/>
    </xf>
    <xf numFmtId="20" fontId="19" fillId="2" borderId="13" xfId="0" applyNumberFormat="1" applyFont="1" applyFill="1" applyBorder="1" applyAlignment="1">
      <alignment horizontal="center" vertical="center" wrapText="1"/>
    </xf>
    <xf numFmtId="20" fontId="19" fillId="2" borderId="18" xfId="0" applyNumberFormat="1" applyFont="1" applyFill="1" applyBorder="1" applyAlignment="1">
      <alignment horizontal="center" vertical="center" wrapText="1"/>
    </xf>
    <xf numFmtId="20" fontId="19" fillId="2" borderId="19" xfId="0" applyNumberFormat="1" applyFont="1" applyFill="1" applyBorder="1" applyAlignment="1">
      <alignment horizontal="center" vertical="center" wrapText="1"/>
    </xf>
    <xf numFmtId="0" fontId="17" fillId="0" borderId="25" xfId="0" applyFont="1" applyBorder="1" applyAlignment="1">
      <alignment horizontal="center"/>
    </xf>
    <xf numFmtId="0" fontId="9" fillId="0" borderId="31" xfId="0" applyFont="1" applyBorder="1" applyAlignment="1">
      <alignment vertical="top" wrapText="1"/>
    </xf>
    <xf numFmtId="0" fontId="9" fillId="0" borderId="32" xfId="0" applyFont="1" applyBorder="1" applyAlignment="1">
      <alignment vertical="top" wrapText="1"/>
    </xf>
    <xf numFmtId="0" fontId="9" fillId="0" borderId="25" xfId="0" applyFont="1" applyBorder="1" applyAlignment="1">
      <alignment vertical="top" wrapText="1"/>
    </xf>
    <xf numFmtId="0" fontId="13" fillId="0" borderId="33" xfId="0" applyFont="1" applyBorder="1" applyAlignment="1">
      <alignment vertical="top" wrapText="1"/>
    </xf>
    <xf numFmtId="20" fontId="3" fillId="10" borderId="19" xfId="0" applyNumberFormat="1" applyFont="1" applyFill="1" applyBorder="1" applyAlignment="1">
      <alignment horizontal="center" vertical="center"/>
    </xf>
    <xf numFmtId="164" fontId="21" fillId="0" borderId="4" xfId="0" applyNumberFormat="1" applyFont="1" applyBorder="1" applyAlignment="1">
      <alignment horizontal="center" vertical="center" wrapText="1"/>
    </xf>
    <xf numFmtId="164" fontId="21" fillId="0" borderId="4" xfId="0" applyNumberFormat="1" applyFont="1" applyBorder="1" applyAlignment="1">
      <alignment vertical="center" wrapText="1"/>
    </xf>
    <xf numFmtId="0" fontId="21" fillId="0" borderId="0" xfId="0" applyFont="1" applyAlignment="1">
      <alignment horizontal="left" wrapText="1"/>
    </xf>
    <xf numFmtId="0" fontId="22" fillId="0" borderId="0" xfId="0" applyFont="1" applyAlignment="1">
      <alignment horizontal="left" vertical="top"/>
    </xf>
    <xf numFmtId="20" fontId="10" fillId="0" borderId="4" xfId="0" applyNumberFormat="1" applyFont="1" applyBorder="1" applyAlignment="1">
      <alignment vertical="center" wrapText="1"/>
    </xf>
    <xf numFmtId="0" fontId="12" fillId="0" borderId="34" xfId="0" applyFont="1" applyBorder="1" applyAlignment="1">
      <alignment horizontal="left" wrapText="1"/>
    </xf>
    <xf numFmtId="49" fontId="9" fillId="0" borderId="4" xfId="0" applyNumberFormat="1" applyFont="1" applyBorder="1" applyAlignment="1">
      <alignment vertical="top" wrapText="1"/>
    </xf>
    <xf numFmtId="0" fontId="20" fillId="0" borderId="14" xfId="0" applyFont="1" applyBorder="1" applyAlignment="1">
      <alignment horizontal="center" vertical="top" wrapText="1"/>
    </xf>
    <xf numFmtId="0" fontId="13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 wrapText="1"/>
    </xf>
    <xf numFmtId="164" fontId="9" fillId="6" borderId="10" xfId="0" applyNumberFormat="1" applyFont="1" applyFill="1" applyBorder="1" applyAlignment="1">
      <alignment horizontal="center" vertical="center" wrapText="1"/>
    </xf>
    <xf numFmtId="164" fontId="9" fillId="6" borderId="1" xfId="0" applyNumberFormat="1" applyFont="1" applyFill="1" applyBorder="1" applyAlignment="1">
      <alignment horizontal="center" vertical="center" wrapText="1"/>
    </xf>
    <xf numFmtId="46" fontId="13" fillId="6" borderId="7" xfId="0" applyNumberFormat="1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20" xfId="0" applyFont="1" applyBorder="1" applyAlignment="1">
      <alignment horizontal="center" vertical="top" wrapText="1"/>
    </xf>
    <xf numFmtId="0" fontId="18" fillId="0" borderId="14" xfId="0" applyFont="1" applyBorder="1" applyAlignment="1">
      <alignment horizontal="center" vertical="top"/>
    </xf>
    <xf numFmtId="49" fontId="10" fillId="0" borderId="0" xfId="0" applyNumberFormat="1" applyFont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164" fontId="9" fillId="6" borderId="9" xfId="0" applyNumberFormat="1" applyFont="1" applyFill="1" applyBorder="1" applyAlignment="1">
      <alignment horizontal="center" vertical="center" wrapText="1"/>
    </xf>
    <xf numFmtId="164" fontId="9" fillId="6" borderId="6" xfId="0" applyNumberFormat="1" applyFont="1" applyFill="1" applyBorder="1" applyAlignment="1">
      <alignment horizontal="center" vertical="center" wrapText="1"/>
    </xf>
    <xf numFmtId="164" fontId="9" fillId="6" borderId="14" xfId="0" applyNumberFormat="1" applyFont="1" applyFill="1" applyBorder="1" applyAlignment="1">
      <alignment horizontal="center" vertical="center" wrapText="1"/>
    </xf>
    <xf numFmtId="164" fontId="9" fillId="6" borderId="17" xfId="0" applyNumberFormat="1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164" fontId="9" fillId="5" borderId="9" xfId="0" applyNumberFormat="1" applyFont="1" applyFill="1" applyBorder="1" applyAlignment="1">
      <alignment horizontal="center" vertical="center" wrapText="1"/>
    </xf>
    <xf numFmtId="164" fontId="9" fillId="5" borderId="6" xfId="0" applyNumberFormat="1" applyFont="1" applyFill="1" applyBorder="1" applyAlignment="1">
      <alignment horizontal="center" vertical="center" wrapText="1"/>
    </xf>
    <xf numFmtId="164" fontId="9" fillId="5" borderId="14" xfId="0" applyNumberFormat="1" applyFont="1" applyFill="1" applyBorder="1" applyAlignment="1">
      <alignment horizontal="center" vertical="center" wrapText="1"/>
    </xf>
    <xf numFmtId="164" fontId="9" fillId="5" borderId="17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64" fontId="9" fillId="4" borderId="9" xfId="0" applyNumberFormat="1" applyFont="1" applyFill="1" applyBorder="1" applyAlignment="1">
      <alignment horizontal="center" vertical="center" wrapText="1"/>
    </xf>
    <xf numFmtId="164" fontId="9" fillId="4" borderId="6" xfId="0" applyNumberFormat="1" applyFont="1" applyFill="1" applyBorder="1" applyAlignment="1">
      <alignment horizontal="center" vertical="center" wrapText="1"/>
    </xf>
    <xf numFmtId="164" fontId="9" fillId="4" borderId="14" xfId="0" applyNumberFormat="1" applyFont="1" applyFill="1" applyBorder="1" applyAlignment="1">
      <alignment horizontal="center" vertical="center" wrapText="1"/>
    </xf>
    <xf numFmtId="164" fontId="9" fillId="4" borderId="17" xfId="0" applyNumberFormat="1" applyFont="1" applyFill="1" applyBorder="1" applyAlignment="1">
      <alignment horizontal="center" vertical="center" wrapText="1"/>
    </xf>
    <xf numFmtId="164" fontId="9" fillId="4" borderId="10" xfId="0" applyNumberFormat="1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center" vertical="center" wrapText="1"/>
    </xf>
    <xf numFmtId="49" fontId="13" fillId="4" borderId="7" xfId="0" applyNumberFormat="1" applyFont="1" applyFill="1" applyBorder="1" applyAlignment="1">
      <alignment horizontal="center" vertical="center" wrapText="1"/>
    </xf>
    <xf numFmtId="49" fontId="13" fillId="4" borderId="8" xfId="0" applyNumberFormat="1" applyFont="1" applyFill="1" applyBorder="1" applyAlignment="1">
      <alignment horizontal="center" vertical="center" wrapText="1"/>
    </xf>
    <xf numFmtId="164" fontId="9" fillId="5" borderId="10" xfId="0" applyNumberFormat="1" applyFont="1" applyFill="1" applyBorder="1" applyAlignment="1">
      <alignment horizontal="center" vertical="center" wrapText="1"/>
    </xf>
    <xf numFmtId="164" fontId="9" fillId="5" borderId="1" xfId="0" applyNumberFormat="1" applyFont="1" applyFill="1" applyBorder="1" applyAlignment="1">
      <alignment horizontal="center" vertical="center" wrapText="1"/>
    </xf>
    <xf numFmtId="46" fontId="13" fillId="5" borderId="7" xfId="0" applyNumberFormat="1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164" fontId="13" fillId="3" borderId="9" xfId="0" applyNumberFormat="1" applyFont="1" applyFill="1" applyBorder="1" applyAlignment="1">
      <alignment horizontal="center" vertical="center" wrapText="1"/>
    </xf>
    <xf numFmtId="164" fontId="13" fillId="3" borderId="6" xfId="0" applyNumberFormat="1" applyFont="1" applyFill="1" applyBorder="1" applyAlignment="1">
      <alignment horizontal="center" vertical="center" wrapText="1"/>
    </xf>
    <xf numFmtId="164" fontId="13" fillId="3" borderId="14" xfId="0" applyNumberFormat="1" applyFont="1" applyFill="1" applyBorder="1" applyAlignment="1">
      <alignment horizontal="center" vertical="center" wrapText="1"/>
    </xf>
    <xf numFmtId="164" fontId="13" fillId="3" borderId="17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 wrapText="1"/>
    </xf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top" wrapText="1"/>
    </xf>
    <xf numFmtId="0" fontId="7" fillId="0" borderId="14" xfId="0" applyFont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20" fontId="9" fillId="2" borderId="9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49" fontId="13" fillId="2" borderId="7" xfId="0" applyNumberFormat="1" applyFont="1" applyFill="1" applyBorder="1" applyAlignment="1">
      <alignment horizontal="center" vertical="center" wrapText="1"/>
    </xf>
    <xf numFmtId="49" fontId="13" fillId="2" borderId="8" xfId="0" applyNumberFormat="1" applyFont="1" applyFill="1" applyBorder="1" applyAlignment="1">
      <alignment horizontal="center" vertical="center" wrapText="1"/>
    </xf>
    <xf numFmtId="164" fontId="13" fillId="3" borderId="10" xfId="0" applyNumberFormat="1" applyFont="1" applyFill="1" applyBorder="1" applyAlignment="1">
      <alignment horizontal="center" vertical="center" wrapText="1"/>
    </xf>
    <xf numFmtId="164" fontId="13" fillId="3" borderId="1" xfId="0" applyNumberFormat="1" applyFont="1" applyFill="1" applyBorder="1" applyAlignment="1">
      <alignment horizontal="center" vertical="center" wrapText="1"/>
    </xf>
    <xf numFmtId="49" fontId="12" fillId="3" borderId="7" xfId="0" applyNumberFormat="1" applyFont="1" applyFill="1" applyBorder="1" applyAlignment="1">
      <alignment horizontal="center" vertical="center" shrinkToFit="1"/>
    </xf>
    <xf numFmtId="49" fontId="12" fillId="3" borderId="8" xfId="0" applyNumberFormat="1" applyFont="1" applyFill="1" applyBorder="1" applyAlignment="1">
      <alignment horizontal="center" vertical="center" shrinkToFit="1"/>
    </xf>
    <xf numFmtId="165" fontId="2" fillId="12" borderId="24" xfId="0" applyNumberFormat="1" applyFont="1" applyFill="1" applyBorder="1" applyAlignment="1">
      <alignment horizontal="center" vertical="center"/>
    </xf>
    <xf numFmtId="165" fontId="2" fillId="12" borderId="22" xfId="0" applyNumberFormat="1" applyFont="1" applyFill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20" fontId="3" fillId="12" borderId="26" xfId="0" applyNumberFormat="1" applyFont="1" applyFill="1" applyBorder="1" applyAlignment="1">
      <alignment horizontal="center" vertical="center"/>
    </xf>
    <xf numFmtId="20" fontId="3" fillId="12" borderId="21" xfId="0" applyNumberFormat="1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/>
    </xf>
    <xf numFmtId="20" fontId="3" fillId="0" borderId="12" xfId="0" applyNumberFormat="1" applyFont="1" applyBorder="1" applyAlignment="1">
      <alignment horizontal="center" vertical="center"/>
    </xf>
    <xf numFmtId="20" fontId="3" fillId="10" borderId="26" xfId="0" applyNumberFormat="1" applyFont="1" applyFill="1" applyBorder="1" applyAlignment="1">
      <alignment horizontal="center" vertical="center"/>
    </xf>
    <xf numFmtId="20" fontId="3" fillId="10" borderId="21" xfId="0" applyNumberFormat="1" applyFont="1" applyFill="1" applyBorder="1" applyAlignment="1">
      <alignment horizontal="center" vertical="center"/>
    </xf>
    <xf numFmtId="164" fontId="9" fillId="5" borderId="11" xfId="0" applyNumberFormat="1" applyFont="1" applyFill="1" applyBorder="1" applyAlignment="1">
      <alignment horizontal="center" vertical="center" wrapText="1"/>
    </xf>
    <xf numFmtId="164" fontId="9" fillId="5" borderId="13" xfId="0" applyNumberFormat="1" applyFont="1" applyFill="1" applyBorder="1" applyAlignment="1">
      <alignment horizontal="center" vertical="center" wrapText="1"/>
    </xf>
    <xf numFmtId="165" fontId="2" fillId="10" borderId="24" xfId="0" applyNumberFormat="1" applyFont="1" applyFill="1" applyBorder="1" applyAlignment="1">
      <alignment horizontal="center" vertical="center"/>
    </xf>
    <xf numFmtId="165" fontId="2" fillId="10" borderId="22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164" fontId="9" fillId="4" borderId="30" xfId="0" applyNumberFormat="1" applyFont="1" applyFill="1" applyBorder="1" applyAlignment="1">
      <alignment horizontal="center" vertical="center" wrapText="1"/>
    </xf>
    <xf numFmtId="165" fontId="2" fillId="7" borderId="29" xfId="0" applyNumberFormat="1" applyFont="1" applyFill="1" applyBorder="1" applyAlignment="1">
      <alignment horizontal="center" vertical="center"/>
    </xf>
    <xf numFmtId="165" fontId="2" fillId="7" borderId="22" xfId="0" applyNumberFormat="1" applyFont="1" applyFill="1" applyBorder="1" applyAlignment="1">
      <alignment horizontal="center" vertical="center"/>
    </xf>
    <xf numFmtId="165" fontId="2" fillId="8" borderId="24" xfId="0" applyNumberFormat="1" applyFont="1" applyFill="1" applyBorder="1" applyAlignment="1">
      <alignment horizontal="center" vertical="center"/>
    </xf>
    <xf numFmtId="165" fontId="2" fillId="8" borderId="22" xfId="0" applyNumberFormat="1" applyFont="1" applyFill="1" applyBorder="1" applyAlignment="1">
      <alignment horizontal="center" vertical="center"/>
    </xf>
    <xf numFmtId="165" fontId="2" fillId="9" borderId="24" xfId="0" applyNumberFormat="1" applyFont="1" applyFill="1" applyBorder="1" applyAlignment="1">
      <alignment horizontal="center" vertical="center"/>
    </xf>
    <xf numFmtId="165" fontId="2" fillId="9" borderId="2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11" fillId="0" borderId="4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7" fillId="0" borderId="0" xfId="0" applyFont="1" applyAlignment="1">
      <alignment horizontal="center"/>
    </xf>
    <xf numFmtId="0" fontId="17" fillId="0" borderId="30" xfId="0" applyFont="1" applyBorder="1" applyAlignment="1">
      <alignment horizont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20" fontId="9" fillId="0" borderId="0" xfId="0" applyNumberFormat="1" applyFont="1" applyAlignment="1">
      <alignment horizontal="center" vertical="center" wrapText="1"/>
    </xf>
    <xf numFmtId="20" fontId="11" fillId="0" borderId="12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 wrapText="1"/>
    </xf>
    <xf numFmtId="20" fontId="1" fillId="8" borderId="15" xfId="0" applyNumberFormat="1" applyFont="1" applyFill="1" applyBorder="1" applyAlignment="1">
      <alignment horizontal="center" vertical="center"/>
    </xf>
    <xf numFmtId="49" fontId="18" fillId="11" borderId="12" xfId="0" applyNumberFormat="1" applyFont="1" applyFill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 wrapText="1"/>
    </xf>
    <xf numFmtId="0" fontId="23" fillId="0" borderId="0" xfId="0" applyFont="1" applyAlignment="1">
      <alignment horizontal="left" wrapText="1"/>
    </xf>
    <xf numFmtId="0" fontId="24" fillId="0" borderId="0" xfId="0" applyFont="1" applyAlignment="1">
      <alignment horizontal="left" vertical="top"/>
    </xf>
    <xf numFmtId="0" fontId="18" fillId="0" borderId="12" xfId="0" applyFont="1" applyBorder="1" applyAlignment="1">
      <alignment horizontal="center"/>
    </xf>
    <xf numFmtId="0" fontId="16" fillId="0" borderId="23" xfId="0" applyFont="1" applyBorder="1" applyAlignment="1">
      <alignment horizontal="center" vertical="center"/>
    </xf>
    <xf numFmtId="0" fontId="25" fillId="0" borderId="0" xfId="0" applyFont="1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20" fontId="6" fillId="0" borderId="0" xfId="0" applyNumberFormat="1" applyFont="1" applyBorder="1" applyAlignment="1">
      <alignment vertical="center"/>
    </xf>
    <xf numFmtId="0" fontId="6" fillId="11" borderId="0" xfId="0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top" wrapText="1"/>
    </xf>
    <xf numFmtId="20" fontId="6" fillId="0" borderId="0" xfId="0" applyNumberFormat="1" applyFont="1" applyBorder="1" applyAlignment="1">
      <alignment horizontal="center" vertical="center"/>
    </xf>
    <xf numFmtId="20" fontId="6" fillId="0" borderId="23" xfId="0" applyNumberFormat="1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top"/>
    </xf>
    <xf numFmtId="0" fontId="26" fillId="0" borderId="0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center" wrapText="1"/>
    </xf>
    <xf numFmtId="0" fontId="6" fillId="11" borderId="0" xfId="0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top" wrapText="1"/>
    </xf>
    <xf numFmtId="0" fontId="3" fillId="7" borderId="30" xfId="0" applyFont="1" applyFill="1" applyBorder="1" applyAlignment="1">
      <alignment horizontal="center" vertical="center"/>
    </xf>
    <xf numFmtId="20" fontId="9" fillId="2" borderId="35" xfId="0" applyNumberFormat="1" applyFont="1" applyFill="1" applyBorder="1" applyAlignment="1">
      <alignment horizontal="center" vertical="center" wrapText="1"/>
    </xf>
    <xf numFmtId="20" fontId="13" fillId="7" borderId="11" xfId="0" applyNumberFormat="1" applyFont="1" applyFill="1" applyBorder="1" applyAlignment="1">
      <alignment horizontal="center" vertical="center"/>
    </xf>
    <xf numFmtId="20" fontId="13" fillId="7" borderId="13" xfId="0" applyNumberFormat="1" applyFont="1" applyFill="1" applyBorder="1" applyAlignment="1">
      <alignment horizontal="center" vertical="center"/>
    </xf>
    <xf numFmtId="20" fontId="13" fillId="7" borderId="15" xfId="0" applyNumberFormat="1" applyFont="1" applyFill="1" applyBorder="1" applyAlignment="1">
      <alignment horizontal="center" vertical="center"/>
    </xf>
    <xf numFmtId="20" fontId="13" fillId="7" borderId="23" xfId="0" applyNumberFormat="1" applyFont="1" applyFill="1" applyBorder="1" applyAlignment="1">
      <alignment horizontal="center" vertical="center"/>
    </xf>
    <xf numFmtId="165" fontId="2" fillId="7" borderId="26" xfId="0" applyNumberFormat="1" applyFont="1" applyFill="1" applyBorder="1" applyAlignment="1">
      <alignment horizontal="center" vertical="center"/>
    </xf>
    <xf numFmtId="165" fontId="2" fillId="7" borderId="21" xfId="0" applyNumberFormat="1" applyFont="1" applyFill="1" applyBorder="1" applyAlignment="1">
      <alignment horizontal="center" vertical="center"/>
    </xf>
    <xf numFmtId="0" fontId="3" fillId="0" borderId="11" xfId="0" applyFont="1" applyBorder="1" applyAlignment="1">
      <alignment vertical="center"/>
    </xf>
    <xf numFmtId="0" fontId="19" fillId="0" borderId="0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12" fillId="3" borderId="36" xfId="0" applyFont="1" applyFill="1" applyBorder="1" applyAlignment="1">
      <alignment horizontal="center" vertical="center" wrapText="1"/>
    </xf>
    <xf numFmtId="165" fontId="2" fillId="8" borderId="26" xfId="0" applyNumberFormat="1" applyFont="1" applyFill="1" applyBorder="1" applyAlignment="1">
      <alignment horizontal="center" vertical="center"/>
    </xf>
    <xf numFmtId="165" fontId="2" fillId="8" borderId="2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13" fillId="9" borderId="30" xfId="0" applyFont="1" applyFill="1" applyBorder="1" applyAlignment="1">
      <alignment horizontal="center" vertical="center"/>
    </xf>
    <xf numFmtId="165" fontId="2" fillId="9" borderId="26" xfId="0" applyNumberFormat="1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165" fontId="2" fillId="9" borderId="21" xfId="0" applyNumberFormat="1" applyFont="1" applyFill="1" applyBorder="1" applyAlignment="1">
      <alignment horizontal="center" vertical="center"/>
    </xf>
    <xf numFmtId="20" fontId="3" fillId="0" borderId="13" xfId="0" applyNumberFormat="1" applyFont="1" applyBorder="1" applyAlignment="1">
      <alignment horizontal="center" vertical="center"/>
    </xf>
    <xf numFmtId="0" fontId="3" fillId="10" borderId="30" xfId="0" applyFont="1" applyFill="1" applyBorder="1" applyAlignment="1">
      <alignment horizontal="center" vertical="center"/>
    </xf>
    <xf numFmtId="165" fontId="2" fillId="10" borderId="26" xfId="0" applyNumberFormat="1" applyFont="1" applyFill="1" applyBorder="1" applyAlignment="1">
      <alignment horizontal="center" vertical="center"/>
    </xf>
    <xf numFmtId="165" fontId="2" fillId="10" borderId="21" xfId="0" applyNumberFormat="1" applyFont="1" applyFill="1" applyBorder="1" applyAlignment="1">
      <alignment horizontal="center" vertical="center"/>
    </xf>
    <xf numFmtId="0" fontId="18" fillId="11" borderId="28" xfId="0" applyFont="1" applyFill="1" applyBorder="1" applyAlignment="1">
      <alignment horizontal="center" vertical="center"/>
    </xf>
    <xf numFmtId="0" fontId="18" fillId="11" borderId="0" xfId="0" applyFont="1" applyFill="1" applyBorder="1" applyAlignment="1">
      <alignment vertical="center"/>
    </xf>
    <xf numFmtId="0" fontId="18" fillId="11" borderId="37" xfId="0" applyFont="1" applyFill="1" applyBorder="1" applyAlignment="1">
      <alignment vertical="center"/>
    </xf>
    <xf numFmtId="0" fontId="3" fillId="12" borderId="30" xfId="0" applyFont="1" applyFill="1" applyBorder="1" applyAlignment="1">
      <alignment horizontal="center" vertical="center"/>
    </xf>
    <xf numFmtId="165" fontId="2" fillId="12" borderId="26" xfId="0" applyNumberFormat="1" applyFont="1" applyFill="1" applyBorder="1" applyAlignment="1">
      <alignment horizontal="center" vertical="center"/>
    </xf>
    <xf numFmtId="165" fontId="2" fillId="12" borderId="21" xfId="0" applyNumberFormat="1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3" fillId="11" borderId="25" xfId="0" applyFont="1" applyFill="1" applyBorder="1" applyAlignment="1">
      <alignment vertical="center"/>
    </xf>
    <xf numFmtId="0" fontId="2" fillId="11" borderId="19" xfId="0" applyFont="1" applyFill="1" applyBorder="1" applyAlignment="1">
      <alignment vertical="center"/>
    </xf>
    <xf numFmtId="0" fontId="8" fillId="0" borderId="38" xfId="0" applyFont="1" applyBorder="1" applyAlignment="1">
      <alignment horizontal="left" wrapText="1"/>
    </xf>
    <xf numFmtId="0" fontId="12" fillId="0" borderId="27" xfId="0" applyFont="1" applyBorder="1" applyAlignment="1">
      <alignment horizontal="left" wrapText="1"/>
    </xf>
    <xf numFmtId="0" fontId="9" fillId="2" borderId="39" xfId="0" applyFont="1" applyFill="1" applyBorder="1" applyAlignment="1">
      <alignment horizontal="center" vertical="center" wrapText="1"/>
    </xf>
    <xf numFmtId="20" fontId="9" fillId="2" borderId="40" xfId="0" applyNumberFormat="1" applyFont="1" applyFill="1" applyBorder="1" applyAlignment="1">
      <alignment horizontal="center" vertical="center" wrapText="1"/>
    </xf>
    <xf numFmtId="20" fontId="9" fillId="2" borderId="41" xfId="0" applyNumberFormat="1" applyFont="1" applyFill="1" applyBorder="1" applyAlignment="1">
      <alignment horizontal="center" vertical="center" wrapText="1"/>
    </xf>
    <xf numFmtId="0" fontId="9" fillId="2" borderId="36" xfId="0" applyFont="1" applyFill="1" applyBorder="1" applyAlignment="1">
      <alignment horizontal="center" vertical="center" wrapText="1"/>
    </xf>
    <xf numFmtId="0" fontId="8" fillId="0" borderId="42" xfId="0" applyFont="1" applyBorder="1" applyAlignment="1">
      <alignment horizontal="left" vertical="center" wrapText="1"/>
    </xf>
    <xf numFmtId="0" fontId="11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42" xfId="0" applyFont="1" applyBorder="1" applyAlignment="1">
      <alignment vertical="center" wrapText="1"/>
    </xf>
    <xf numFmtId="0" fontId="13" fillId="0" borderId="0" xfId="0" applyFont="1" applyBorder="1" applyAlignment="1">
      <alignment horizontal="center" vertical="center" wrapText="1"/>
    </xf>
    <xf numFmtId="0" fontId="9" fillId="4" borderId="36" xfId="0" applyFont="1" applyFill="1" applyBorder="1" applyAlignment="1">
      <alignment horizontal="center" vertical="center" wrapText="1"/>
    </xf>
    <xf numFmtId="0" fontId="18" fillId="0" borderId="42" xfId="0" applyFont="1" applyBorder="1" applyAlignment="1">
      <alignment horizontal="left" vertical="center" wrapText="1"/>
    </xf>
    <xf numFmtId="20" fontId="10" fillId="0" borderId="0" xfId="0" applyNumberFormat="1" applyFont="1" applyBorder="1" applyAlignment="1">
      <alignment horizontal="center" vertical="center" wrapText="1"/>
    </xf>
    <xf numFmtId="0" fontId="10" fillId="0" borderId="0" xfId="0" applyFont="1" applyBorder="1" applyAlignment="1">
      <alignment vertical="center" wrapText="1"/>
    </xf>
    <xf numFmtId="0" fontId="6" fillId="0" borderId="43" xfId="0" applyFont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0" borderId="42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20" fontId="9" fillId="0" borderId="0" xfId="0" applyNumberFormat="1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9" fillId="6" borderId="36" xfId="0" applyFont="1" applyFill="1" applyBorder="1" applyAlignment="1">
      <alignment horizontal="center" vertical="center" wrapText="1"/>
    </xf>
    <xf numFmtId="0" fontId="9" fillId="0" borderId="44" xfId="0" applyFont="1" applyBorder="1" applyAlignment="1">
      <alignment vertical="top" wrapText="1"/>
    </xf>
    <xf numFmtId="0" fontId="13" fillId="0" borderId="45" xfId="0" applyFont="1" applyBorder="1" applyAlignment="1">
      <alignment vertical="top" wrapText="1"/>
    </xf>
    <xf numFmtId="0" fontId="1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8"/>
  <sheetViews>
    <sheetView tabSelected="1" zoomScale="72" workbookViewId="0">
      <selection activeCell="P107" sqref="P107"/>
    </sheetView>
  </sheetViews>
  <sheetFormatPr baseColWidth="10" defaultColWidth="8.88671875" defaultRowHeight="14.4" x14ac:dyDescent="0.25"/>
  <cols>
    <col min="1" max="1" width="16.21875" customWidth="1"/>
    <col min="2" max="3" width="7.77734375" customWidth="1"/>
    <col min="4" max="4" width="7.77734375" style="1" customWidth="1"/>
    <col min="5" max="6" width="7.77734375" customWidth="1"/>
    <col min="7" max="7" width="7.77734375" style="1" customWidth="1"/>
    <col min="8" max="9" width="7.77734375" customWidth="1"/>
    <col min="10" max="10" width="7.77734375" style="1" customWidth="1"/>
    <col min="11" max="12" width="7.77734375" customWidth="1"/>
    <col min="13" max="13" width="7.77734375" style="1" customWidth="1"/>
    <col min="14" max="15" width="7.77734375" customWidth="1"/>
    <col min="16" max="16" width="7.77734375" style="1" customWidth="1"/>
    <col min="17" max="17" width="12.77734375" style="108" customWidth="1"/>
    <col min="18" max="18" width="29.109375" customWidth="1"/>
  </cols>
  <sheetData>
    <row r="1" spans="1:18" ht="28.2" customHeight="1" x14ac:dyDescent="0.25">
      <c r="A1" s="213" t="s">
        <v>33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5"/>
      <c r="R1" s="2"/>
    </row>
    <row r="3" spans="1:18" ht="15" hidden="1" customHeight="1" x14ac:dyDescent="0.25">
      <c r="A3" s="170" t="s">
        <v>16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8"/>
    </row>
    <row r="4" spans="1:18" ht="15.75" hidden="1" customHeight="1" x14ac:dyDescent="0.3">
      <c r="A4" s="3"/>
      <c r="B4" s="171" t="s">
        <v>0</v>
      </c>
      <c r="C4" s="172"/>
      <c r="D4" s="173"/>
      <c r="E4" s="174" t="s">
        <v>1</v>
      </c>
      <c r="F4" s="175"/>
      <c r="G4" s="176"/>
      <c r="H4" s="174" t="s">
        <v>2</v>
      </c>
      <c r="I4" s="175"/>
      <c r="J4" s="176"/>
      <c r="K4" s="174" t="s">
        <v>3</v>
      </c>
      <c r="L4" s="175"/>
      <c r="M4" s="176"/>
      <c r="N4" s="174" t="s">
        <v>4</v>
      </c>
      <c r="O4" s="175"/>
      <c r="P4" s="176"/>
      <c r="Q4" s="124"/>
      <c r="R4" s="4"/>
    </row>
    <row r="5" spans="1:18" ht="14.25" hidden="1" customHeight="1" x14ac:dyDescent="0.25">
      <c r="A5" s="21" t="s">
        <v>5</v>
      </c>
      <c r="B5" s="13">
        <v>0.58333333333333337</v>
      </c>
      <c r="C5" s="14">
        <v>0.8125</v>
      </c>
      <c r="D5" s="177">
        <f>C5-B5+B6-C6</f>
        <v>0.22916666666666663</v>
      </c>
      <c r="E5" s="15">
        <v>0.35416666666666669</v>
      </c>
      <c r="F5" s="16">
        <v>0.6875</v>
      </c>
      <c r="G5" s="177">
        <f>F5-E5+E6-F6</f>
        <v>0.3125</v>
      </c>
      <c r="H5" s="17">
        <v>0.54166666666666663</v>
      </c>
      <c r="I5" s="18">
        <v>0.82291666666666663</v>
      </c>
      <c r="J5" s="177">
        <f>I5-H5+H6-I6</f>
        <v>0.26041666666666674</v>
      </c>
      <c r="K5" s="15">
        <v>0.39583333333333331</v>
      </c>
      <c r="L5" s="16">
        <v>0.70833333333333337</v>
      </c>
      <c r="M5" s="177">
        <f>L5-K5+K6-L6</f>
        <v>0.29166666666666663</v>
      </c>
      <c r="N5" s="109">
        <v>0.45833333333333331</v>
      </c>
      <c r="O5" s="110">
        <v>0.76041666666666663</v>
      </c>
      <c r="P5" s="177">
        <f>O5-N5+N6-O6</f>
        <v>0.27083333333333337</v>
      </c>
      <c r="Q5" s="202">
        <f>P5+M5+J5+G5+D5</f>
        <v>1.3645833333333335</v>
      </c>
      <c r="R5" s="4"/>
    </row>
    <row r="6" spans="1:18" ht="14.25" hidden="1" customHeight="1" x14ac:dyDescent="0.25">
      <c r="A6" s="21" t="s">
        <v>6</v>
      </c>
      <c r="B6" s="13"/>
      <c r="C6" s="14"/>
      <c r="D6" s="178"/>
      <c r="E6" s="19">
        <v>0.54166666666666663</v>
      </c>
      <c r="F6" s="20">
        <v>0.5625</v>
      </c>
      <c r="G6" s="178"/>
      <c r="H6" s="15">
        <v>0.64583333333333337</v>
      </c>
      <c r="I6" s="16">
        <v>0.66666666666666663</v>
      </c>
      <c r="J6" s="178"/>
      <c r="K6" s="19">
        <v>0.5625</v>
      </c>
      <c r="L6" s="20">
        <v>0.58333333333333337</v>
      </c>
      <c r="M6" s="178"/>
      <c r="N6" s="111">
        <v>0.57291666666666663</v>
      </c>
      <c r="O6" s="112">
        <v>0.60416666666666663</v>
      </c>
      <c r="P6" s="178"/>
      <c r="Q6" s="203"/>
      <c r="R6" s="4"/>
    </row>
    <row r="7" spans="1:18" ht="14.25" hidden="1" customHeight="1" x14ac:dyDescent="0.25">
      <c r="A7" s="22"/>
      <c r="B7" s="136"/>
      <c r="C7" s="141"/>
      <c r="D7" s="60"/>
      <c r="E7" s="141"/>
      <c r="F7" s="141"/>
      <c r="G7" s="5"/>
      <c r="H7" s="141"/>
      <c r="I7" s="141"/>
      <c r="J7" s="5"/>
      <c r="K7" s="135" t="s">
        <v>22</v>
      </c>
      <c r="L7" s="135"/>
      <c r="M7" s="23"/>
      <c r="N7" s="216" t="s">
        <v>25</v>
      </c>
      <c r="O7" s="216"/>
      <c r="P7" s="5"/>
      <c r="Q7" s="101"/>
      <c r="R7" s="4"/>
    </row>
    <row r="8" spans="1:18" ht="13.95" hidden="1" customHeight="1" x14ac:dyDescent="0.25">
      <c r="A8" s="24" t="s">
        <v>12</v>
      </c>
      <c r="B8" s="11">
        <v>0.34375</v>
      </c>
      <c r="C8" s="12">
        <v>0.58333333333333337</v>
      </c>
      <c r="D8" s="166">
        <f>C8-B8+B9-C9</f>
        <v>0.23958333333333337</v>
      </c>
      <c r="E8" s="43">
        <v>0.41666666666666669</v>
      </c>
      <c r="F8" s="44">
        <v>0.76041666666666663</v>
      </c>
      <c r="G8" s="168">
        <f>F8-E8+E9-F9</f>
        <v>0.32291666666666652</v>
      </c>
      <c r="H8" s="43">
        <v>0.34375</v>
      </c>
      <c r="I8" s="44">
        <v>0.66666666666666663</v>
      </c>
      <c r="J8" s="168">
        <f>I8-H8+H9-I9</f>
        <v>0.30208333333333326</v>
      </c>
      <c r="K8" s="43">
        <v>0.26041666666666669</v>
      </c>
      <c r="L8" s="44">
        <v>0.54166666666666663</v>
      </c>
      <c r="M8" s="168">
        <f>L8-K8+K9-L9</f>
        <v>0.26041666666666657</v>
      </c>
      <c r="N8" s="43">
        <v>0.54166666666666663</v>
      </c>
      <c r="O8" s="44">
        <v>0.83333333333333337</v>
      </c>
      <c r="P8" s="181">
        <f>O8-N8+N9-O9</f>
        <v>0.27083333333333348</v>
      </c>
      <c r="Q8" s="204">
        <f>P8+M8+J8+G8+D8</f>
        <v>1.395833333333333</v>
      </c>
      <c r="R8" s="4"/>
    </row>
    <row r="9" spans="1:18" ht="13.95" hidden="1" customHeight="1" x14ac:dyDescent="0.25">
      <c r="A9" s="24" t="s">
        <v>6</v>
      </c>
      <c r="B9" s="11"/>
      <c r="C9" s="12"/>
      <c r="D9" s="167"/>
      <c r="E9" s="45">
        <v>0.60416666666666663</v>
      </c>
      <c r="F9" s="46">
        <v>0.625</v>
      </c>
      <c r="G9" s="169"/>
      <c r="H9" s="45">
        <v>0.54166666666666663</v>
      </c>
      <c r="I9" s="46">
        <v>0.5625</v>
      </c>
      <c r="J9" s="169"/>
      <c r="K9" s="45">
        <v>0.45833333333333331</v>
      </c>
      <c r="L9" s="46">
        <v>0.47916666666666669</v>
      </c>
      <c r="M9" s="169"/>
      <c r="N9" s="45">
        <v>0.64583333333333337</v>
      </c>
      <c r="O9" s="46">
        <v>0.66666666666666663</v>
      </c>
      <c r="P9" s="182"/>
      <c r="Q9" s="205"/>
      <c r="R9" s="4"/>
    </row>
    <row r="10" spans="1:18" s="59" customFormat="1" ht="13.95" hidden="1" customHeight="1" x14ac:dyDescent="0.3">
      <c r="A10" s="53"/>
      <c r="B10" s="54"/>
      <c r="C10" s="54"/>
      <c r="D10" s="54"/>
      <c r="E10" s="153"/>
      <c r="F10" s="153"/>
      <c r="G10" s="55"/>
      <c r="H10" s="153"/>
      <c r="I10" s="153"/>
      <c r="J10" s="56"/>
      <c r="K10" s="152"/>
      <c r="L10" s="153"/>
      <c r="M10" s="56"/>
      <c r="N10" s="152"/>
      <c r="O10" s="153"/>
      <c r="P10" s="54"/>
      <c r="Q10" s="101"/>
      <c r="R10" s="58"/>
    </row>
    <row r="11" spans="1:18" ht="14.25" hidden="1" customHeight="1" x14ac:dyDescent="0.25">
      <c r="A11" s="26" t="s">
        <v>8</v>
      </c>
      <c r="B11" s="47">
        <v>0.41666666666666669</v>
      </c>
      <c r="C11" s="48">
        <v>0.76041666666666663</v>
      </c>
      <c r="D11" s="154">
        <f>C11-B11+B12-C12</f>
        <v>0.31249999999999989</v>
      </c>
      <c r="E11" s="27">
        <v>0.34375</v>
      </c>
      <c r="F11" s="28">
        <v>0.625</v>
      </c>
      <c r="G11" s="156">
        <f>F11-E11+E12-F12</f>
        <v>0.26041666666666657</v>
      </c>
      <c r="H11" s="27">
        <v>0.26041666666666669</v>
      </c>
      <c r="I11" s="28">
        <v>0.54166666666666663</v>
      </c>
      <c r="J11" s="156">
        <f>I11-H11+H12-I12</f>
        <v>0.26041666666666657</v>
      </c>
      <c r="K11" s="27">
        <v>0.54166666666666663</v>
      </c>
      <c r="L11" s="28">
        <v>0.82291666666666663</v>
      </c>
      <c r="M11" s="156">
        <f>L11-K11+K12-L12</f>
        <v>0.26041666666666663</v>
      </c>
      <c r="N11" s="27">
        <v>0.34375</v>
      </c>
      <c r="O11" s="28">
        <v>0.66666666666666663</v>
      </c>
      <c r="P11" s="158">
        <f>O11-N11+N12-O12</f>
        <v>0.29166666666666663</v>
      </c>
      <c r="Q11" s="206">
        <f>P11+M11+J11+G11+D11</f>
        <v>1.3854166666666661</v>
      </c>
      <c r="R11" s="4"/>
    </row>
    <row r="12" spans="1:18" ht="14.25" hidden="1" customHeight="1" x14ac:dyDescent="0.25">
      <c r="A12" s="26" t="s">
        <v>6</v>
      </c>
      <c r="B12" s="47">
        <v>0.57291666666666663</v>
      </c>
      <c r="C12" s="48">
        <v>0.60416666666666663</v>
      </c>
      <c r="D12" s="155"/>
      <c r="E12" s="29">
        <v>0.45833333333333331</v>
      </c>
      <c r="F12" s="30">
        <v>0.47916666666666669</v>
      </c>
      <c r="G12" s="157"/>
      <c r="H12" s="29">
        <v>0.45833333333333331</v>
      </c>
      <c r="I12" s="30">
        <v>0.47916666666666669</v>
      </c>
      <c r="J12" s="157"/>
      <c r="K12" s="29">
        <v>0.625</v>
      </c>
      <c r="L12" s="30">
        <v>0.64583333333333337</v>
      </c>
      <c r="M12" s="157"/>
      <c r="N12" s="29">
        <v>0.54166666666666663</v>
      </c>
      <c r="O12" s="30">
        <v>0.57291666666666663</v>
      </c>
      <c r="P12" s="159"/>
      <c r="Q12" s="207"/>
      <c r="R12" s="4"/>
    </row>
    <row r="13" spans="1:18" ht="14.25" hidden="1" customHeight="1" x14ac:dyDescent="0.25">
      <c r="A13" s="22"/>
      <c r="B13" s="136"/>
      <c r="C13" s="141"/>
      <c r="D13" s="5"/>
      <c r="E13" s="136"/>
      <c r="F13" s="141"/>
      <c r="G13" s="10"/>
      <c r="H13" s="141"/>
      <c r="I13" s="141"/>
      <c r="J13" s="10"/>
      <c r="K13" s="141"/>
      <c r="L13" s="141"/>
      <c r="M13" s="25"/>
      <c r="N13" s="135" t="s">
        <v>11</v>
      </c>
      <c r="O13" s="135"/>
      <c r="P13" s="10"/>
      <c r="Q13" s="101"/>
      <c r="R13" s="4"/>
    </row>
    <row r="14" spans="1:18" ht="14.25" hidden="1" customHeight="1" x14ac:dyDescent="0.25">
      <c r="A14" s="31" t="s">
        <v>9</v>
      </c>
      <c r="B14" s="49">
        <v>0.35416666666666669</v>
      </c>
      <c r="C14" s="50">
        <v>0.6875</v>
      </c>
      <c r="D14" s="148">
        <f>C14-B14+B15-C15</f>
        <v>0.30208333333333337</v>
      </c>
      <c r="E14" s="32">
        <v>0.54166666666666663</v>
      </c>
      <c r="F14" s="33">
        <v>0.8125</v>
      </c>
      <c r="G14" s="150">
        <f>F14-E14+E15-F15</f>
        <v>0.25</v>
      </c>
      <c r="H14" s="32">
        <v>0.41666666666666669</v>
      </c>
      <c r="I14" s="33">
        <v>0.76041666666666663</v>
      </c>
      <c r="J14" s="150">
        <f>I14-H14+H15-I15</f>
        <v>0.30208333333333337</v>
      </c>
      <c r="K14" s="32">
        <v>0.34375</v>
      </c>
      <c r="L14" s="33">
        <v>0.64583333333333337</v>
      </c>
      <c r="M14" s="150">
        <f>L14-K14+K15-L15</f>
        <v>0.28125</v>
      </c>
      <c r="N14" s="32">
        <v>0.26041666666666669</v>
      </c>
      <c r="O14" s="33">
        <v>0.54166666666666663</v>
      </c>
      <c r="P14" s="162">
        <f>O14-N14+N15-O15</f>
        <v>0.26041666666666657</v>
      </c>
      <c r="Q14" s="198">
        <f>P14+M14+J14+G14+D14</f>
        <v>1.3958333333333335</v>
      </c>
      <c r="R14" s="4"/>
    </row>
    <row r="15" spans="1:18" ht="14.25" hidden="1" customHeight="1" x14ac:dyDescent="0.25">
      <c r="A15" s="31" t="s">
        <v>6</v>
      </c>
      <c r="B15" s="49" t="s">
        <v>7</v>
      </c>
      <c r="C15" s="50">
        <v>0.57291666666666663</v>
      </c>
      <c r="D15" s="149"/>
      <c r="E15" s="34">
        <v>0.625</v>
      </c>
      <c r="F15" s="35">
        <v>0.64583333333333337</v>
      </c>
      <c r="G15" s="151"/>
      <c r="H15" s="34">
        <v>0.5625</v>
      </c>
      <c r="I15" s="35">
        <v>0.60416666666666663</v>
      </c>
      <c r="J15" s="151"/>
      <c r="K15" s="34">
        <v>0.54166666666666663</v>
      </c>
      <c r="L15" s="35">
        <v>0.5625</v>
      </c>
      <c r="M15" s="151"/>
      <c r="N15" s="34">
        <v>0.45833333333333331</v>
      </c>
      <c r="O15" s="35">
        <v>0.47916666666666669</v>
      </c>
      <c r="P15" s="163"/>
      <c r="Q15" s="199"/>
      <c r="R15" s="4"/>
    </row>
    <row r="16" spans="1:18" ht="14.25" hidden="1" customHeight="1" x14ac:dyDescent="0.25">
      <c r="A16" s="36"/>
      <c r="B16" s="135" t="s">
        <v>13</v>
      </c>
      <c r="C16" s="135"/>
      <c r="D16" s="37"/>
      <c r="E16" s="142"/>
      <c r="F16" s="142"/>
      <c r="G16" s="142"/>
      <c r="H16" s="135" t="s">
        <v>11</v>
      </c>
      <c r="I16" s="135"/>
      <c r="J16" s="37"/>
      <c r="K16" s="136"/>
      <c r="L16" s="141"/>
      <c r="M16" s="37"/>
      <c r="N16" s="136"/>
      <c r="O16" s="141"/>
      <c r="P16" s="37"/>
      <c r="Q16" s="103"/>
      <c r="R16" s="4"/>
    </row>
    <row r="17" spans="1:18" ht="14.25" hidden="1" customHeight="1" x14ac:dyDescent="0.25">
      <c r="A17" s="38" t="s">
        <v>10</v>
      </c>
      <c r="B17" s="51">
        <v>0.35416666666666669</v>
      </c>
      <c r="C17" s="52">
        <v>0.6875</v>
      </c>
      <c r="D17" s="143">
        <f>C17-B17+B18-C18</f>
        <v>0.29166666666666674</v>
      </c>
      <c r="E17" s="51">
        <v>0.35416666666666669</v>
      </c>
      <c r="F17" s="52">
        <v>0.6875</v>
      </c>
      <c r="G17" s="145">
        <f>F17-E17+E18-F18</f>
        <v>0.29166666666666674</v>
      </c>
      <c r="H17" s="39">
        <v>0.41666666666666669</v>
      </c>
      <c r="I17" s="40">
        <v>0.75</v>
      </c>
      <c r="J17" s="145">
        <f>I17-H17+H18-I18</f>
        <v>0.29166666666666663</v>
      </c>
      <c r="K17" s="39">
        <v>0.39583333333333331</v>
      </c>
      <c r="L17" s="40">
        <v>0.72916666666666663</v>
      </c>
      <c r="M17" s="145">
        <f>L17-K17+K18-L18</f>
        <v>0.29166666666666663</v>
      </c>
      <c r="N17" s="39">
        <v>0.45833333333333331</v>
      </c>
      <c r="O17" s="40">
        <v>0.79166666666666663</v>
      </c>
      <c r="P17" s="130">
        <f>O17-N17+N18-O18</f>
        <v>0.29166666666666663</v>
      </c>
      <c r="Q17" s="185">
        <f>P17+M17+J17+G17+D17</f>
        <v>1.4583333333333333</v>
      </c>
      <c r="R17" s="4"/>
    </row>
    <row r="18" spans="1:18" ht="14.25" hidden="1" customHeight="1" x14ac:dyDescent="0.25">
      <c r="A18" s="38" t="s">
        <v>6</v>
      </c>
      <c r="B18" s="51">
        <v>0.52083333333333337</v>
      </c>
      <c r="C18" s="52">
        <v>0.5625</v>
      </c>
      <c r="D18" s="144"/>
      <c r="E18" s="51">
        <v>0.52083333333333337</v>
      </c>
      <c r="F18" s="52">
        <v>0.5625</v>
      </c>
      <c r="G18" s="146"/>
      <c r="H18" s="41">
        <v>0.5625</v>
      </c>
      <c r="I18" s="42">
        <v>0.60416666666666663</v>
      </c>
      <c r="J18" s="146"/>
      <c r="K18" s="41">
        <v>0.54166666666666663</v>
      </c>
      <c r="L18" s="42">
        <v>0.58333333333333337</v>
      </c>
      <c r="M18" s="146"/>
      <c r="N18" s="41">
        <v>0.5625</v>
      </c>
      <c r="O18" s="42">
        <v>0.60416666666666663</v>
      </c>
      <c r="P18" s="131"/>
      <c r="Q18" s="186"/>
      <c r="R18" s="4"/>
    </row>
    <row r="19" spans="1:18" ht="15.75" hidden="1" customHeight="1" x14ac:dyDescent="0.25">
      <c r="A19" s="114"/>
      <c r="B19" s="115"/>
      <c r="C19" s="115"/>
      <c r="D19" s="115"/>
      <c r="E19" s="210"/>
      <c r="F19" s="210"/>
      <c r="G19" s="115"/>
      <c r="H19" s="129" t="s">
        <v>11</v>
      </c>
      <c r="I19" s="129"/>
      <c r="J19" s="115"/>
      <c r="K19" s="116"/>
      <c r="L19" s="116"/>
      <c r="M19" s="115"/>
      <c r="N19" s="116"/>
      <c r="O19" s="116"/>
      <c r="P19" s="115"/>
      <c r="Q19" s="117"/>
      <c r="R19" s="4"/>
    </row>
    <row r="20" spans="1:18" ht="15.75" hidden="1" customHeight="1" x14ac:dyDescent="0.25">
      <c r="A20" s="61"/>
      <c r="B20" s="61"/>
      <c r="C20" s="61"/>
      <c r="D20" s="61"/>
      <c r="E20" s="208" t="s">
        <v>15</v>
      </c>
      <c r="F20" s="208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105"/>
      <c r="R20" s="4"/>
    </row>
    <row r="21" spans="1:18" ht="15" customHeight="1" x14ac:dyDescent="0.3">
      <c r="A21" s="211" t="s">
        <v>34</v>
      </c>
      <c r="B21" s="211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8"/>
    </row>
    <row r="22" spans="1:18" ht="15.75" customHeight="1" x14ac:dyDescent="0.3">
      <c r="A22" s="113"/>
      <c r="B22" s="212" t="s">
        <v>0</v>
      </c>
      <c r="C22" s="212"/>
      <c r="D22" s="212"/>
      <c r="E22" s="212" t="s">
        <v>1</v>
      </c>
      <c r="F22" s="212"/>
      <c r="G22" s="212"/>
      <c r="H22" s="212" t="s">
        <v>2</v>
      </c>
      <c r="I22" s="212"/>
      <c r="J22" s="212"/>
      <c r="K22" s="212" t="s">
        <v>3</v>
      </c>
      <c r="L22" s="212"/>
      <c r="M22" s="212"/>
      <c r="N22" s="212" t="s">
        <v>4</v>
      </c>
      <c r="O22" s="212"/>
      <c r="P22" s="212"/>
      <c r="Q22" s="113"/>
      <c r="R22" s="4"/>
    </row>
    <row r="23" spans="1:18" ht="14.25" customHeight="1" x14ac:dyDescent="0.25">
      <c r="A23" s="241" t="s">
        <v>5</v>
      </c>
      <c r="B23" s="15">
        <v>0.34375</v>
      </c>
      <c r="C23" s="16">
        <v>0.64583333333333337</v>
      </c>
      <c r="D23" s="242">
        <f>C23-B23+B24-C24</f>
        <v>0.27083333333333337</v>
      </c>
      <c r="E23" s="243">
        <v>0.5625</v>
      </c>
      <c r="F23" s="244">
        <v>0.90625</v>
      </c>
      <c r="G23" s="242">
        <f>F23-E23+E24-F24</f>
        <v>0.32291666666666674</v>
      </c>
      <c r="H23" s="243">
        <v>0.39583333333333331</v>
      </c>
      <c r="I23" s="244">
        <v>0.71875</v>
      </c>
      <c r="J23" s="242">
        <f>I23-H23+H24-I24</f>
        <v>0.29166666666666663</v>
      </c>
      <c r="K23" s="245">
        <v>0.34375</v>
      </c>
      <c r="L23" s="246">
        <v>0.66666666666666663</v>
      </c>
      <c r="M23" s="242">
        <f>L23-K23+K24-L24</f>
        <v>0.29166666666666663</v>
      </c>
      <c r="N23" s="243">
        <v>0.26041666666666669</v>
      </c>
      <c r="O23" s="244">
        <v>0.58333333333333337</v>
      </c>
      <c r="P23" s="242">
        <f>O23-N23+N24-O24</f>
        <v>0.30208333333333331</v>
      </c>
      <c r="Q23" s="247">
        <f>P23+M23+J23+G23+D23</f>
        <v>1.479166666666667</v>
      </c>
      <c r="R23" s="4"/>
    </row>
    <row r="24" spans="1:18" ht="14.25" customHeight="1" x14ac:dyDescent="0.25">
      <c r="A24" s="241" t="s">
        <v>6</v>
      </c>
      <c r="B24" s="19">
        <v>0.57291666666666663</v>
      </c>
      <c r="C24" s="20">
        <v>0.60416666666666663</v>
      </c>
      <c r="D24" s="178"/>
      <c r="E24" s="64">
        <v>0.64583333333333337</v>
      </c>
      <c r="F24" s="65">
        <v>0.66666666666666663</v>
      </c>
      <c r="G24" s="178"/>
      <c r="H24" s="62">
        <v>0.57291666666666663</v>
      </c>
      <c r="I24" s="65">
        <v>0.60416666666666663</v>
      </c>
      <c r="J24" s="178"/>
      <c r="K24" s="62">
        <v>0.54166666666666663</v>
      </c>
      <c r="L24" s="63">
        <v>0.57291666666666663</v>
      </c>
      <c r="M24" s="178"/>
      <c r="N24" s="62">
        <v>0.45833333333333331</v>
      </c>
      <c r="O24" s="65">
        <v>0.47916666666666669</v>
      </c>
      <c r="P24" s="178"/>
      <c r="Q24" s="248"/>
      <c r="R24" s="4"/>
    </row>
    <row r="25" spans="1:18" ht="14.25" customHeight="1" x14ac:dyDescent="0.25">
      <c r="A25" s="249"/>
      <c r="B25" s="250"/>
      <c r="C25" s="250"/>
      <c r="D25" s="66"/>
      <c r="E25" s="128"/>
      <c r="F25" s="128"/>
      <c r="G25" s="66"/>
      <c r="H25" s="129" t="s">
        <v>11</v>
      </c>
      <c r="I25" s="129"/>
      <c r="J25" s="66"/>
      <c r="K25" s="128"/>
      <c r="L25" s="128"/>
      <c r="M25" s="66"/>
      <c r="N25" s="200"/>
      <c r="O25" s="200"/>
      <c r="P25" s="66"/>
      <c r="Q25" s="251"/>
      <c r="R25" s="4"/>
    </row>
    <row r="26" spans="1:18" ht="13.95" customHeight="1" x14ac:dyDescent="0.25">
      <c r="A26" s="252" t="s">
        <v>12</v>
      </c>
      <c r="B26" s="67">
        <v>0.54166666666666663</v>
      </c>
      <c r="C26" s="68">
        <v>0.82291666666666663</v>
      </c>
      <c r="D26" s="166">
        <f>C26-B26+B27-C27</f>
        <v>0.26041666666666663</v>
      </c>
      <c r="E26" s="221">
        <v>0.39583333333333331</v>
      </c>
      <c r="F26" s="69">
        <v>0.76041666666666663</v>
      </c>
      <c r="G26" s="166">
        <f>F26-E26+E27-F27</f>
        <v>0.32291666666666663</v>
      </c>
      <c r="H26" s="70">
        <v>0.58333333333333337</v>
      </c>
      <c r="I26" s="69">
        <v>0.90625</v>
      </c>
      <c r="J26" s="166">
        <f>I26-H26+H27-I27</f>
        <v>0.30208333333333337</v>
      </c>
      <c r="K26" s="70">
        <v>0.45833333333333331</v>
      </c>
      <c r="L26" s="71">
        <v>0.76041666666666663</v>
      </c>
      <c r="M26" s="166">
        <f>L26-K26+K27-L27</f>
        <v>0.27083333333333337</v>
      </c>
      <c r="N26" s="70">
        <v>0.36458333333333331</v>
      </c>
      <c r="O26" s="71">
        <v>0.66666666666666663</v>
      </c>
      <c r="P26" s="166">
        <f>O26-N26+N27-O27</f>
        <v>0.27083333333333337</v>
      </c>
      <c r="Q26" s="253">
        <f>P26+M26+J26+G26+D26</f>
        <v>1.4270833333333335</v>
      </c>
      <c r="R26" s="4"/>
    </row>
    <row r="27" spans="1:18" ht="13.95" customHeight="1" x14ac:dyDescent="0.25">
      <c r="A27" s="252" t="s">
        <v>6</v>
      </c>
      <c r="B27" s="70">
        <v>0.625</v>
      </c>
      <c r="C27" s="71">
        <v>0.64583333333333337</v>
      </c>
      <c r="D27" s="167"/>
      <c r="E27" s="70">
        <v>0.60416666666666663</v>
      </c>
      <c r="F27" s="69">
        <v>0.64583333333333337</v>
      </c>
      <c r="G27" s="167"/>
      <c r="H27" s="70">
        <v>0.64583333333333337</v>
      </c>
      <c r="I27" s="69">
        <v>0.66666666666666663</v>
      </c>
      <c r="J27" s="167"/>
      <c r="K27" s="72">
        <v>0.57291666666666663</v>
      </c>
      <c r="L27" s="73">
        <v>0.60416666666666663</v>
      </c>
      <c r="M27" s="167"/>
      <c r="N27" s="70">
        <v>0.54166666666666663</v>
      </c>
      <c r="O27" s="73">
        <v>0.57291666666666663</v>
      </c>
      <c r="P27" s="167"/>
      <c r="Q27" s="254"/>
      <c r="R27" s="4"/>
    </row>
    <row r="28" spans="1:18" s="59" customFormat="1" ht="13.95" customHeight="1" x14ac:dyDescent="0.3">
      <c r="A28" s="255"/>
      <c r="B28" s="228"/>
      <c r="C28" s="228"/>
      <c r="D28" s="74"/>
      <c r="E28" s="128"/>
      <c r="F28" s="128"/>
      <c r="G28" s="74"/>
      <c r="H28" s="127"/>
      <c r="I28" s="127"/>
      <c r="J28" s="74"/>
      <c r="K28" s="129" t="s">
        <v>11</v>
      </c>
      <c r="L28" s="129"/>
      <c r="M28" s="74"/>
      <c r="N28" s="200"/>
      <c r="O28" s="200"/>
      <c r="P28" s="74"/>
      <c r="Q28" s="256"/>
      <c r="R28" s="58"/>
    </row>
    <row r="29" spans="1:18" ht="14.25" customHeight="1" x14ac:dyDescent="0.25">
      <c r="A29" s="257" t="s">
        <v>8</v>
      </c>
      <c r="B29" s="75">
        <v>0.26041666666666669</v>
      </c>
      <c r="C29" s="76">
        <v>0.54166666666666663</v>
      </c>
      <c r="D29" s="154">
        <f>C29-B29+B30-C30</f>
        <v>0.26041666666666657</v>
      </c>
      <c r="E29" s="77">
        <v>0.34375</v>
      </c>
      <c r="F29" s="78">
        <v>0.66666666666666663</v>
      </c>
      <c r="G29" s="154">
        <f>F29-E29+E30-F30</f>
        <v>0.30208333333333326</v>
      </c>
      <c r="H29" s="77">
        <v>0.34375</v>
      </c>
      <c r="I29" s="79">
        <v>0.66666666666666663</v>
      </c>
      <c r="J29" s="201">
        <f>I29-H29+H30-I30</f>
        <v>0.29166666666666663</v>
      </c>
      <c r="K29" s="79">
        <v>0.58333333333333337</v>
      </c>
      <c r="L29" s="80">
        <v>0.90625</v>
      </c>
      <c r="M29" s="154">
        <f>L29-K29+K30-L30</f>
        <v>0.30208333333333337</v>
      </c>
      <c r="N29" s="77">
        <v>0.58333333333333337</v>
      </c>
      <c r="O29" s="80">
        <v>0.90625</v>
      </c>
      <c r="P29" s="154">
        <f>O29-N29+N30-O30</f>
        <v>0.30208333333333337</v>
      </c>
      <c r="Q29" s="258">
        <f>P29+M29+J29+G29+D29</f>
        <v>1.458333333333333</v>
      </c>
      <c r="R29" s="4"/>
    </row>
    <row r="30" spans="1:18" ht="14.25" customHeight="1" x14ac:dyDescent="0.25">
      <c r="A30" s="259" t="s">
        <v>6</v>
      </c>
      <c r="B30" s="81">
        <v>0.45833333333333331</v>
      </c>
      <c r="C30" s="82">
        <v>0.47916666666666669</v>
      </c>
      <c r="D30" s="155"/>
      <c r="E30" s="81">
        <v>0.54166666666666663</v>
      </c>
      <c r="F30" s="83">
        <v>0.5625</v>
      </c>
      <c r="G30" s="155"/>
      <c r="H30" s="81">
        <v>0.54166666666666663</v>
      </c>
      <c r="I30" s="84">
        <v>0.57291666666666663</v>
      </c>
      <c r="J30" s="201"/>
      <c r="K30" s="84">
        <v>0.64583333333333337</v>
      </c>
      <c r="L30" s="83">
        <v>0.66666666666666663</v>
      </c>
      <c r="M30" s="155"/>
      <c r="N30" s="81">
        <v>0.64583333333333337</v>
      </c>
      <c r="O30" s="83">
        <v>0.66666666666666663</v>
      </c>
      <c r="P30" s="155"/>
      <c r="Q30" s="260"/>
      <c r="R30" s="4"/>
    </row>
    <row r="31" spans="1:18" ht="14.25" customHeight="1" x14ac:dyDescent="0.3">
      <c r="A31" s="249"/>
      <c r="B31" s="191"/>
      <c r="C31" s="191"/>
      <c r="D31" s="66"/>
      <c r="E31" s="190"/>
      <c r="F31" s="190"/>
      <c r="G31" s="66"/>
      <c r="H31" s="190"/>
      <c r="I31" s="190"/>
      <c r="J31" s="66"/>
      <c r="K31" s="235"/>
      <c r="L31" s="191"/>
      <c r="M31" s="85"/>
      <c r="N31" s="192"/>
      <c r="O31" s="192"/>
      <c r="P31" s="193"/>
      <c r="Q31" s="261"/>
      <c r="R31" s="4"/>
    </row>
    <row r="32" spans="1:18" ht="14.25" customHeight="1" x14ac:dyDescent="0.25">
      <c r="A32" s="262" t="s">
        <v>9</v>
      </c>
      <c r="B32" s="99">
        <v>0.45833333333333331</v>
      </c>
      <c r="C32" s="86">
        <v>0.76041666666666663</v>
      </c>
      <c r="D32" s="194">
        <f>C32-B32+B33-C33</f>
        <v>0.27083333333333337</v>
      </c>
      <c r="E32" s="99">
        <v>0.26041666666666669</v>
      </c>
      <c r="F32" s="86">
        <v>0.60416666666666663</v>
      </c>
      <c r="G32" s="194">
        <f>F32-E32+E33-F33</f>
        <v>0.32291666666666657</v>
      </c>
      <c r="H32" s="87">
        <v>0.26041666666666669</v>
      </c>
      <c r="I32" s="87">
        <v>0.58333333333333337</v>
      </c>
      <c r="J32" s="196">
        <f>I32-H32+H33-I33</f>
        <v>0.30208333333333331</v>
      </c>
      <c r="K32" s="88">
        <v>0.26041666666666669</v>
      </c>
      <c r="L32" s="89">
        <v>0.58333333333333337</v>
      </c>
      <c r="M32" s="197">
        <f>L32-K32+K33-L33</f>
        <v>0.30208333333333331</v>
      </c>
      <c r="N32" s="87">
        <v>0.45833333333333331</v>
      </c>
      <c r="O32" s="87">
        <v>0.73958333333333337</v>
      </c>
      <c r="P32" s="148">
        <f>O32-N32+N33-O33</f>
        <v>0.25000000000000011</v>
      </c>
      <c r="Q32" s="263">
        <f>P32+M32+J32+G32+D32</f>
        <v>1.4479166666666665</v>
      </c>
      <c r="R32" s="4"/>
    </row>
    <row r="33" spans="1:18" ht="14.25" customHeight="1" x14ac:dyDescent="0.25">
      <c r="A33" s="262" t="s">
        <v>6</v>
      </c>
      <c r="B33" s="88">
        <v>0.54166666666666663</v>
      </c>
      <c r="C33" s="89">
        <v>0.57291666666666663</v>
      </c>
      <c r="D33" s="195"/>
      <c r="E33" s="88">
        <v>0.45833333333333331</v>
      </c>
      <c r="F33" s="89">
        <v>0.47916666666666669</v>
      </c>
      <c r="G33" s="195"/>
      <c r="H33" s="88">
        <v>0.45833333333333331</v>
      </c>
      <c r="I33" s="87">
        <v>0.47916666666666669</v>
      </c>
      <c r="J33" s="196"/>
      <c r="K33" s="100">
        <v>0.45833333333333331</v>
      </c>
      <c r="L33" s="118">
        <v>0.47916666666666669</v>
      </c>
      <c r="M33" s="197"/>
      <c r="N33" s="90">
        <v>0.57291666666666663</v>
      </c>
      <c r="O33" s="90">
        <v>0.60416666666666663</v>
      </c>
      <c r="P33" s="149"/>
      <c r="Q33" s="264"/>
      <c r="R33" s="4"/>
    </row>
    <row r="34" spans="1:18" s="226" customFormat="1" ht="14.25" customHeight="1" x14ac:dyDescent="0.3">
      <c r="A34" s="265" t="s">
        <v>36</v>
      </c>
      <c r="B34" s="187" t="s">
        <v>22</v>
      </c>
      <c r="C34" s="187"/>
      <c r="D34" s="266"/>
      <c r="E34" s="227" t="s">
        <v>37</v>
      </c>
      <c r="F34" s="227"/>
      <c r="G34" s="266"/>
      <c r="H34" s="222" t="s">
        <v>38</v>
      </c>
      <c r="I34" s="222"/>
      <c r="J34" s="266"/>
      <c r="K34" s="223" t="s">
        <v>23</v>
      </c>
      <c r="L34" s="223"/>
      <c r="M34" s="266"/>
      <c r="N34" s="224" t="s">
        <v>40</v>
      </c>
      <c r="O34" s="224"/>
      <c r="P34" s="224"/>
      <c r="Q34" s="267"/>
      <c r="R34" s="225"/>
    </row>
    <row r="35" spans="1:18" ht="14.25" customHeight="1" x14ac:dyDescent="0.25">
      <c r="A35" s="268" t="s">
        <v>10</v>
      </c>
      <c r="B35" s="92">
        <v>0.35416666666666669</v>
      </c>
      <c r="C35" s="93">
        <v>0.6875</v>
      </c>
      <c r="D35" s="188">
        <f>(C35-B35)-(C36-B36)</f>
        <v>0.29166666666666657</v>
      </c>
      <c r="E35" s="94">
        <v>0.39583333333333331</v>
      </c>
      <c r="F35" s="95">
        <v>0.72916666666666663</v>
      </c>
      <c r="G35" s="188">
        <f>(F35-E35)-(F36-E36)</f>
        <v>0.29166666666666669</v>
      </c>
      <c r="H35" s="94">
        <v>0.33333333333333331</v>
      </c>
      <c r="I35" s="95">
        <v>0.66666666666666663</v>
      </c>
      <c r="J35" s="188">
        <f t="shared" ref="J35" si="0">(I35-H35)-(I36-H36)</f>
        <v>0.29166666666666669</v>
      </c>
      <c r="K35" s="94"/>
      <c r="L35" s="95"/>
      <c r="M35" s="188">
        <f t="shared" ref="M35" si="1">(L35-K35)-(L36-K36)</f>
        <v>0</v>
      </c>
      <c r="N35" s="94"/>
      <c r="O35" s="95"/>
      <c r="P35" s="188">
        <f>(O35-N35)-(O36-N36)</f>
        <v>0</v>
      </c>
      <c r="Q35" s="269">
        <f>P35+M35+J35+G35+D35</f>
        <v>0.875</v>
      </c>
      <c r="R35" s="4"/>
    </row>
    <row r="36" spans="1:18" ht="14.25" customHeight="1" x14ac:dyDescent="0.25">
      <c r="A36" s="268" t="s">
        <v>6</v>
      </c>
      <c r="B36" s="94">
        <v>0.54166666666666663</v>
      </c>
      <c r="C36" s="95">
        <v>0.58333333333333337</v>
      </c>
      <c r="D36" s="189"/>
      <c r="E36" s="96">
        <v>0.52083333333333337</v>
      </c>
      <c r="F36" s="97">
        <v>0.5625</v>
      </c>
      <c r="G36" s="189"/>
      <c r="H36" s="96">
        <v>0.52083333333333337</v>
      </c>
      <c r="I36" s="97">
        <v>0.5625</v>
      </c>
      <c r="J36" s="189"/>
      <c r="K36" s="96"/>
      <c r="L36" s="97"/>
      <c r="M36" s="189"/>
      <c r="N36" s="98"/>
      <c r="O36" s="98"/>
      <c r="P36" s="189"/>
      <c r="Q36" s="270"/>
      <c r="R36" s="4"/>
    </row>
    <row r="37" spans="1:18" ht="15.75" customHeight="1" x14ac:dyDescent="0.3">
      <c r="A37" s="271"/>
      <c r="B37" s="272"/>
      <c r="C37" s="272"/>
      <c r="D37" s="273"/>
      <c r="E37" s="190"/>
      <c r="F37" s="190"/>
      <c r="G37" s="273"/>
      <c r="H37" s="128"/>
      <c r="I37" s="128"/>
      <c r="J37" s="273"/>
      <c r="K37" s="272"/>
      <c r="L37" s="272"/>
      <c r="M37" s="273"/>
      <c r="N37" s="128"/>
      <c r="O37" s="128"/>
      <c r="P37" s="273"/>
      <c r="Q37" s="274"/>
      <c r="R37" s="4"/>
    </row>
    <row r="38" spans="1:18" ht="15.75" customHeight="1" x14ac:dyDescent="0.25">
      <c r="A38" s="91"/>
      <c r="B38" s="91"/>
      <c r="C38" s="91"/>
      <c r="D38" s="91"/>
      <c r="E38" s="237" t="s">
        <v>15</v>
      </c>
      <c r="F38" s="237"/>
      <c r="G38" s="231"/>
      <c r="H38" s="239"/>
      <c r="I38" s="239"/>
      <c r="J38" s="91"/>
      <c r="K38" s="240"/>
      <c r="L38" s="240"/>
      <c r="M38" s="234"/>
      <c r="N38" s="91"/>
      <c r="O38" s="91"/>
      <c r="P38" s="91"/>
      <c r="Q38" s="106"/>
      <c r="R38" s="4"/>
    </row>
    <row r="39" spans="1:18" ht="15.75" customHeight="1" x14ac:dyDescent="0.25">
      <c r="A39" s="91"/>
      <c r="B39" s="91"/>
      <c r="C39" s="91"/>
      <c r="D39" s="91"/>
      <c r="E39" s="229"/>
      <c r="F39" s="230"/>
      <c r="G39" s="231"/>
      <c r="H39" s="232"/>
      <c r="I39" s="232"/>
      <c r="J39" s="91"/>
      <c r="K39" s="233"/>
      <c r="L39" s="233"/>
      <c r="M39" s="234"/>
      <c r="N39" s="91"/>
      <c r="O39" s="91"/>
      <c r="P39" s="91"/>
      <c r="Q39" s="106"/>
      <c r="R39" s="4"/>
    </row>
    <row r="40" spans="1:18" ht="15" customHeight="1" x14ac:dyDescent="0.25">
      <c r="A40" s="170" t="s">
        <v>35</v>
      </c>
      <c r="B40" s="170"/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8"/>
    </row>
    <row r="41" spans="1:18" ht="15.75" customHeight="1" x14ac:dyDescent="0.3">
      <c r="A41" s="275"/>
      <c r="B41" s="174" t="s">
        <v>0</v>
      </c>
      <c r="C41" s="175"/>
      <c r="D41" s="176"/>
      <c r="E41" s="174" t="s">
        <v>1</v>
      </c>
      <c r="F41" s="175"/>
      <c r="G41" s="176"/>
      <c r="H41" s="174" t="s">
        <v>2</v>
      </c>
      <c r="I41" s="175"/>
      <c r="J41" s="176"/>
      <c r="K41" s="174" t="s">
        <v>3</v>
      </c>
      <c r="L41" s="175"/>
      <c r="M41" s="176"/>
      <c r="N41" s="174" t="s">
        <v>4</v>
      </c>
      <c r="O41" s="175"/>
      <c r="P41" s="176"/>
      <c r="Q41" s="276"/>
      <c r="R41" s="4"/>
    </row>
    <row r="42" spans="1:18" ht="14.25" customHeight="1" x14ac:dyDescent="0.25">
      <c r="A42" s="277" t="s">
        <v>5</v>
      </c>
      <c r="B42" s="278">
        <v>0.39583333333333331</v>
      </c>
      <c r="C42" s="279">
        <v>0.71875</v>
      </c>
      <c r="D42" s="242">
        <f>C42-B42+B43-C43</f>
        <v>0.29166666666666663</v>
      </c>
      <c r="E42" s="15" t="s">
        <v>39</v>
      </c>
      <c r="F42" s="16"/>
      <c r="G42" s="242">
        <v>0.29166666666666669</v>
      </c>
      <c r="H42" s="17">
        <v>0.26041666666666669</v>
      </c>
      <c r="I42" s="18">
        <v>0.54166666666666663</v>
      </c>
      <c r="J42" s="242">
        <f>I42-H42+H43-I43</f>
        <v>0.26041666666666657</v>
      </c>
      <c r="K42" s="15">
        <v>0.54166666666666663</v>
      </c>
      <c r="L42" s="16">
        <v>0.83333333333333337</v>
      </c>
      <c r="M42" s="242">
        <f>L42-K42+K43-L43</f>
        <v>0.27083333333333348</v>
      </c>
      <c r="N42" s="15">
        <v>0.45833333333333331</v>
      </c>
      <c r="O42" s="16">
        <v>0.80208333333333337</v>
      </c>
      <c r="P42" s="242">
        <f>O42-N42+N43-O43</f>
        <v>0.31250000000000011</v>
      </c>
      <c r="Q42" s="247">
        <f>P42+M42+J42+G42+D42</f>
        <v>1.4270833333333335</v>
      </c>
      <c r="R42" s="4"/>
    </row>
    <row r="43" spans="1:18" ht="14.25" customHeight="1" x14ac:dyDescent="0.25">
      <c r="A43" s="280" t="s">
        <v>6</v>
      </c>
      <c r="B43" s="13">
        <v>0.57291666666666663</v>
      </c>
      <c r="C43" s="14">
        <v>0.60416666666666663</v>
      </c>
      <c r="D43" s="178"/>
      <c r="E43" s="19"/>
      <c r="F43" s="20"/>
      <c r="G43" s="178"/>
      <c r="H43" s="15">
        <v>0.45833333333333331</v>
      </c>
      <c r="I43" s="16">
        <v>0.47916666666666669</v>
      </c>
      <c r="J43" s="178"/>
      <c r="K43" s="19">
        <v>0.64583333333333337</v>
      </c>
      <c r="L43" s="20">
        <v>0.66666666666666663</v>
      </c>
      <c r="M43" s="178"/>
      <c r="N43" s="19">
        <v>0.57291666666666663</v>
      </c>
      <c r="O43" s="20">
        <v>0.60416666666666663</v>
      </c>
      <c r="P43" s="178"/>
      <c r="Q43" s="248"/>
      <c r="R43" s="4"/>
    </row>
    <row r="44" spans="1:18" ht="14.25" customHeight="1" x14ac:dyDescent="0.25">
      <c r="A44" s="281"/>
      <c r="B44" s="282" t="s">
        <v>11</v>
      </c>
      <c r="C44" s="282"/>
      <c r="D44" s="60"/>
      <c r="E44" s="283"/>
      <c r="F44" s="283"/>
      <c r="G44" s="5"/>
      <c r="H44" s="283"/>
      <c r="I44" s="283"/>
      <c r="J44" s="5"/>
      <c r="K44" s="284"/>
      <c r="L44" s="283"/>
      <c r="M44" s="23"/>
      <c r="N44" s="147"/>
      <c r="O44" s="147"/>
      <c r="P44" s="5"/>
      <c r="Q44" s="285"/>
      <c r="R44" s="4"/>
    </row>
    <row r="45" spans="1:18" ht="13.95" customHeight="1" x14ac:dyDescent="0.25">
      <c r="A45" s="252" t="s">
        <v>12</v>
      </c>
      <c r="B45" s="11">
        <v>0.34375</v>
      </c>
      <c r="C45" s="12">
        <v>0.66666666666666663</v>
      </c>
      <c r="D45" s="166">
        <f>C45-B45+B46-C46</f>
        <v>0.29166666666666663</v>
      </c>
      <c r="E45" s="43" t="s">
        <v>39</v>
      </c>
      <c r="F45" s="44"/>
      <c r="G45" s="168">
        <v>0.29166666666666669</v>
      </c>
      <c r="H45" s="43">
        <v>0.34375</v>
      </c>
      <c r="I45" s="44">
        <v>0.66666666666666663</v>
      </c>
      <c r="J45" s="168">
        <f>I45-H45+H46-I46</f>
        <v>0.29166666666666663</v>
      </c>
      <c r="K45" s="43">
        <v>0.36458333333333331</v>
      </c>
      <c r="L45" s="44">
        <v>0.66666666666666663</v>
      </c>
      <c r="M45" s="168">
        <f>L45-K45+K46-L46</f>
        <v>0.28125</v>
      </c>
      <c r="N45" s="43">
        <v>0.26041666666666669</v>
      </c>
      <c r="O45" s="44">
        <v>0.54166666666666663</v>
      </c>
      <c r="P45" s="181">
        <f>O45-N45+N46-O46</f>
        <v>0.26041666666666657</v>
      </c>
      <c r="Q45" s="253">
        <f>P45+M45+J45+G45+D45</f>
        <v>1.4166666666666665</v>
      </c>
      <c r="R45" s="4"/>
    </row>
    <row r="46" spans="1:18" ht="13.95" customHeight="1" x14ac:dyDescent="0.25">
      <c r="A46" s="252" t="s">
        <v>6</v>
      </c>
      <c r="B46" s="11">
        <v>0.54166666666666663</v>
      </c>
      <c r="C46" s="12">
        <v>0.57291666666666663</v>
      </c>
      <c r="D46" s="167"/>
      <c r="E46" s="45"/>
      <c r="F46" s="46"/>
      <c r="G46" s="169"/>
      <c r="H46" s="45">
        <v>0.54166666666666663</v>
      </c>
      <c r="I46" s="46">
        <v>0.57291666666666663</v>
      </c>
      <c r="J46" s="169"/>
      <c r="K46" s="45">
        <v>0.54166666666666663</v>
      </c>
      <c r="L46" s="46">
        <v>0.5625</v>
      </c>
      <c r="M46" s="169"/>
      <c r="N46" s="45">
        <v>0.45833333333333331</v>
      </c>
      <c r="O46" s="46">
        <v>0.47916666666666669</v>
      </c>
      <c r="P46" s="182"/>
      <c r="Q46" s="254"/>
      <c r="R46" s="4"/>
    </row>
    <row r="47" spans="1:18" s="59" customFormat="1" ht="13.95" customHeight="1" x14ac:dyDescent="0.3">
      <c r="A47" s="286"/>
      <c r="B47" s="282"/>
      <c r="C47" s="282"/>
      <c r="D47" s="54"/>
      <c r="E47" s="287"/>
      <c r="F47" s="287"/>
      <c r="G47" s="55"/>
      <c r="H47" s="282"/>
      <c r="I47" s="282"/>
      <c r="J47" s="56"/>
      <c r="K47" s="301" t="s">
        <v>26</v>
      </c>
      <c r="L47" s="301"/>
      <c r="M47" s="56"/>
      <c r="N47" s="147"/>
      <c r="O47" s="147"/>
      <c r="P47" s="54"/>
      <c r="Q47" s="285"/>
      <c r="R47" s="58"/>
    </row>
    <row r="48" spans="1:18" ht="14.25" customHeight="1" x14ac:dyDescent="0.25">
      <c r="A48" s="288" t="s">
        <v>8</v>
      </c>
      <c r="B48" s="47">
        <v>0.54166666666666663</v>
      </c>
      <c r="C48" s="48">
        <v>0.83333333333333337</v>
      </c>
      <c r="D48" s="154">
        <f>C48-B48+B49-C49</f>
        <v>0.27083333333333348</v>
      </c>
      <c r="E48" s="27" t="s">
        <v>39</v>
      </c>
      <c r="F48" s="28"/>
      <c r="G48" s="156">
        <v>0.29166666666666669</v>
      </c>
      <c r="H48" s="27">
        <v>0.45833333333333331</v>
      </c>
      <c r="I48" s="28">
        <v>0.76041666666666663</v>
      </c>
      <c r="J48" s="156">
        <f>I48-H48+H49-I49</f>
        <v>0.27083333333333337</v>
      </c>
      <c r="K48" s="27">
        <v>0.29166666666666669</v>
      </c>
      <c r="L48" s="28">
        <v>0.60416666666666663</v>
      </c>
      <c r="M48" s="156">
        <f>L48-K48+K49-L49</f>
        <v>0.29166666666666657</v>
      </c>
      <c r="N48" s="27">
        <v>0.34375</v>
      </c>
      <c r="O48" s="28">
        <v>0.66666666666666663</v>
      </c>
      <c r="P48" s="156">
        <f>O48-N48+N49-O49</f>
        <v>0.29166666666666663</v>
      </c>
      <c r="Q48" s="258">
        <f>P48+M48+J48+G48+D48</f>
        <v>1.4166666666666667</v>
      </c>
      <c r="R48" s="4"/>
    </row>
    <row r="49" spans="1:18" ht="14.25" customHeight="1" x14ac:dyDescent="0.25">
      <c r="A49" s="288" t="s">
        <v>6</v>
      </c>
      <c r="B49" s="47">
        <v>0.64583333333333337</v>
      </c>
      <c r="C49" s="48">
        <v>0.66666666666666663</v>
      </c>
      <c r="D49" s="155"/>
      <c r="E49" s="29"/>
      <c r="F49" s="30"/>
      <c r="G49" s="157"/>
      <c r="H49" s="29">
        <v>0.57291666666666663</v>
      </c>
      <c r="I49" s="30">
        <v>0.60416666666666663</v>
      </c>
      <c r="J49" s="157"/>
      <c r="K49" s="29">
        <v>0.45833333333333331</v>
      </c>
      <c r="L49" s="30">
        <v>0.47916666666666669</v>
      </c>
      <c r="M49" s="157"/>
      <c r="N49" s="29">
        <v>0.54166666666666663</v>
      </c>
      <c r="O49" s="30">
        <v>0.57291666666666663</v>
      </c>
      <c r="P49" s="157"/>
      <c r="Q49" s="260"/>
      <c r="R49" s="4"/>
    </row>
    <row r="50" spans="1:18" s="122" customFormat="1" ht="14.25" customHeight="1" x14ac:dyDescent="0.25">
      <c r="A50" s="289"/>
      <c r="B50" s="290"/>
      <c r="C50" s="284"/>
      <c r="D50" s="123"/>
      <c r="E50" s="284"/>
      <c r="F50" s="284"/>
      <c r="G50" s="291"/>
      <c r="H50" s="282" t="s">
        <v>11</v>
      </c>
      <c r="I50" s="282"/>
      <c r="J50" s="291"/>
      <c r="K50" s="284"/>
      <c r="L50" s="284"/>
      <c r="M50" s="120"/>
      <c r="N50" s="284"/>
      <c r="O50" s="284"/>
      <c r="P50" s="119"/>
      <c r="Q50" s="292"/>
      <c r="R50" s="121"/>
    </row>
    <row r="51" spans="1:18" ht="14.25" customHeight="1" x14ac:dyDescent="0.25">
      <c r="A51" s="293" t="s">
        <v>9</v>
      </c>
      <c r="B51" s="49">
        <v>0.26041666666666669</v>
      </c>
      <c r="C51" s="50">
        <v>0.54166666666666663</v>
      </c>
      <c r="D51" s="150">
        <f>C51-B51+B52-C52</f>
        <v>0.26041666666666657</v>
      </c>
      <c r="E51" s="32" t="s">
        <v>39</v>
      </c>
      <c r="F51" s="33"/>
      <c r="G51" s="150">
        <v>0.29166666666666669</v>
      </c>
      <c r="H51" s="32">
        <v>0.54166666666666663</v>
      </c>
      <c r="I51" s="33">
        <v>0.83333333333333337</v>
      </c>
      <c r="J51" s="150">
        <f>I51-H51+H52-I52</f>
        <v>0.27083333333333348</v>
      </c>
      <c r="K51" s="32">
        <v>0.375</v>
      </c>
      <c r="L51" s="33">
        <v>0.71875</v>
      </c>
      <c r="M51" s="150">
        <f>L51-K51+K52-L52</f>
        <v>0.3125</v>
      </c>
      <c r="N51" s="32">
        <v>0.54166666666666663</v>
      </c>
      <c r="O51" s="33">
        <v>0.83333333333333337</v>
      </c>
      <c r="P51" s="162">
        <f>O51-N51+N52-O52</f>
        <v>0.27083333333333348</v>
      </c>
      <c r="Q51" s="263">
        <f>P51+M51+J51+G51+D51</f>
        <v>1.4062500000000002</v>
      </c>
      <c r="R51" s="4"/>
    </row>
    <row r="52" spans="1:18" ht="14.25" customHeight="1" x14ac:dyDescent="0.25">
      <c r="A52" s="293" t="s">
        <v>6</v>
      </c>
      <c r="B52" s="49">
        <v>0.45833333333333331</v>
      </c>
      <c r="C52" s="50">
        <v>0.47916666666666669</v>
      </c>
      <c r="D52" s="151"/>
      <c r="E52" s="34"/>
      <c r="F52" s="35"/>
      <c r="G52" s="151"/>
      <c r="H52" s="34">
        <v>0.64583333333333337</v>
      </c>
      <c r="I52" s="35">
        <v>0.66666666666666663</v>
      </c>
      <c r="J52" s="151"/>
      <c r="K52" s="34">
        <v>0.61458333333333337</v>
      </c>
      <c r="L52" s="35">
        <v>0.64583333333333337</v>
      </c>
      <c r="M52" s="151"/>
      <c r="N52" s="34">
        <v>0.64583333333333337</v>
      </c>
      <c r="O52" s="35">
        <v>0.66666666666666663</v>
      </c>
      <c r="P52" s="163"/>
      <c r="Q52" s="264"/>
      <c r="R52" s="4"/>
    </row>
    <row r="53" spans="1:18" ht="14.25" customHeight="1" x14ac:dyDescent="0.25">
      <c r="A53" s="294"/>
      <c r="B53" s="282" t="s">
        <v>37</v>
      </c>
      <c r="C53" s="282"/>
      <c r="D53" s="37"/>
      <c r="E53" s="218"/>
      <c r="F53" s="218"/>
      <c r="G53" s="295"/>
      <c r="H53" s="296"/>
      <c r="I53" s="283"/>
      <c r="J53" s="37"/>
      <c r="K53" s="282" t="s">
        <v>41</v>
      </c>
      <c r="L53" s="282"/>
      <c r="M53" s="37"/>
      <c r="N53" s="282" t="s">
        <v>11</v>
      </c>
      <c r="O53" s="282"/>
      <c r="P53" s="37"/>
      <c r="Q53" s="297"/>
      <c r="R53" s="4"/>
    </row>
    <row r="54" spans="1:18" ht="14.25" customHeight="1" x14ac:dyDescent="0.25">
      <c r="A54" s="298" t="s">
        <v>10</v>
      </c>
      <c r="B54" s="51"/>
      <c r="C54" s="52"/>
      <c r="D54" s="143">
        <f>C54-B54+B55-C55</f>
        <v>0</v>
      </c>
      <c r="E54" s="39" t="s">
        <v>39</v>
      </c>
      <c r="F54" s="40"/>
      <c r="G54" s="145">
        <v>0.29166666666666669</v>
      </c>
      <c r="H54" s="39"/>
      <c r="I54" s="40"/>
      <c r="J54" s="145">
        <f>I54-H54+H55-I55</f>
        <v>0</v>
      </c>
      <c r="K54" s="39"/>
      <c r="L54" s="40"/>
      <c r="M54" s="145">
        <f>L54-K54+K55-L55</f>
        <v>0</v>
      </c>
      <c r="N54" s="39"/>
      <c r="O54" s="40"/>
      <c r="P54" s="130">
        <f>O54-N54+N55-O55</f>
        <v>0</v>
      </c>
      <c r="Q54" s="269">
        <f>P54+M54+J54+G54+D54</f>
        <v>0.29166666666666669</v>
      </c>
      <c r="R54" s="4"/>
    </row>
    <row r="55" spans="1:18" ht="14.25" customHeight="1" x14ac:dyDescent="0.25">
      <c r="A55" s="298" t="s">
        <v>6</v>
      </c>
      <c r="B55" s="51"/>
      <c r="C55" s="52"/>
      <c r="D55" s="144"/>
      <c r="E55" s="41"/>
      <c r="F55" s="42"/>
      <c r="G55" s="146"/>
      <c r="H55" s="41"/>
      <c r="I55" s="42"/>
      <c r="J55" s="146"/>
      <c r="K55" s="41"/>
      <c r="L55" s="42"/>
      <c r="M55" s="146"/>
      <c r="N55" s="41"/>
      <c r="O55" s="42"/>
      <c r="P55" s="131"/>
      <c r="Q55" s="270"/>
      <c r="R55" s="4"/>
    </row>
    <row r="56" spans="1:18" ht="15.75" customHeight="1" x14ac:dyDescent="0.25">
      <c r="A56" s="299"/>
      <c r="B56" s="115"/>
      <c r="C56" s="115"/>
      <c r="D56" s="115"/>
      <c r="E56" s="210"/>
      <c r="F56" s="210"/>
      <c r="G56" s="115"/>
      <c r="H56" s="116"/>
      <c r="I56" s="116"/>
      <c r="J56" s="115"/>
      <c r="K56" s="218"/>
      <c r="L56" s="238"/>
      <c r="M56" s="115"/>
      <c r="N56" s="116"/>
      <c r="O56" s="116"/>
      <c r="P56" s="115"/>
      <c r="Q56" s="300"/>
      <c r="R56" s="4"/>
    </row>
    <row r="57" spans="1:18" x14ac:dyDescent="0.25">
      <c r="A57" s="61"/>
      <c r="B57" s="61"/>
      <c r="C57" s="61"/>
      <c r="D57" s="61"/>
      <c r="E57" s="240"/>
      <c r="F57" s="240"/>
      <c r="G57" s="61"/>
      <c r="H57" s="61"/>
      <c r="I57" s="61"/>
      <c r="J57" s="61"/>
      <c r="K57" s="237" t="s">
        <v>15</v>
      </c>
      <c r="L57" s="237"/>
      <c r="M57" s="61"/>
      <c r="N57" s="61"/>
      <c r="O57" s="61"/>
      <c r="P57" s="61"/>
      <c r="Q57" s="105"/>
    </row>
    <row r="58" spans="1:18" x14ac:dyDescent="0.25">
      <c r="A58" s="61"/>
      <c r="B58" s="61"/>
      <c r="C58" s="61"/>
      <c r="D58" s="61"/>
      <c r="E58" s="233"/>
      <c r="F58" s="233"/>
      <c r="G58" s="61"/>
      <c r="H58" s="61"/>
      <c r="I58" s="61"/>
      <c r="J58" s="61"/>
      <c r="K58" s="236"/>
      <c r="L58" s="236"/>
      <c r="M58" s="61"/>
      <c r="N58" s="61"/>
      <c r="O58" s="61"/>
      <c r="P58" s="61"/>
      <c r="Q58" s="105"/>
    </row>
    <row r="59" spans="1:18" hidden="1" x14ac:dyDescent="0.25">
      <c r="A59" s="170" t="s">
        <v>17</v>
      </c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</row>
    <row r="60" spans="1:18" hidden="1" x14ac:dyDescent="0.3">
      <c r="A60" s="3"/>
      <c r="B60" s="171" t="s">
        <v>0</v>
      </c>
      <c r="C60" s="172"/>
      <c r="D60" s="173"/>
      <c r="E60" s="174" t="s">
        <v>1</v>
      </c>
      <c r="F60" s="175"/>
      <c r="G60" s="176"/>
      <c r="H60" s="174" t="s">
        <v>2</v>
      </c>
      <c r="I60" s="175"/>
      <c r="J60" s="176"/>
      <c r="K60" s="174" t="s">
        <v>3</v>
      </c>
      <c r="L60" s="175"/>
      <c r="M60" s="176"/>
      <c r="N60" s="174" t="s">
        <v>4</v>
      </c>
      <c r="O60" s="175"/>
      <c r="P60" s="176"/>
      <c r="Q60" s="102"/>
    </row>
    <row r="61" spans="1:18" hidden="1" x14ac:dyDescent="0.25">
      <c r="A61" s="21" t="s">
        <v>5</v>
      </c>
      <c r="B61" s="13">
        <v>0.54166666666666663</v>
      </c>
      <c r="C61" s="14">
        <v>0.83333333333333337</v>
      </c>
      <c r="D61" s="177">
        <f>C61-B61+B62-C62</f>
        <v>0.27083333333333337</v>
      </c>
      <c r="E61" s="15">
        <v>0.41666666666666669</v>
      </c>
      <c r="F61" s="16">
        <v>0.76041666666666663</v>
      </c>
      <c r="G61" s="177">
        <f>F61-E61+E62-F62</f>
        <v>0.31249999999999989</v>
      </c>
      <c r="H61" s="17">
        <v>0.29166666666666669</v>
      </c>
      <c r="I61" s="18">
        <v>0.66666666666666663</v>
      </c>
      <c r="J61" s="177">
        <f>I61-H61+H62-I62</f>
        <v>0.34374999999999989</v>
      </c>
      <c r="K61" s="15">
        <v>0.26041666666666669</v>
      </c>
      <c r="L61" s="16">
        <v>0.54166666666666663</v>
      </c>
      <c r="M61" s="177">
        <f>L61-K61+K62-L62</f>
        <v>0.26041666666666657</v>
      </c>
      <c r="N61" s="15">
        <v>0.54166666666666663</v>
      </c>
      <c r="O61" s="16">
        <v>0.83333333333333337</v>
      </c>
      <c r="P61" s="177">
        <f>O61-N61+N62-O62</f>
        <v>0.27083333333333337</v>
      </c>
      <c r="Q61" s="202">
        <f>P61+M61+J61+G61+D61</f>
        <v>1.458333333333333</v>
      </c>
    </row>
    <row r="62" spans="1:18" hidden="1" x14ac:dyDescent="0.25">
      <c r="A62" s="21" t="s">
        <v>6</v>
      </c>
      <c r="B62" s="13">
        <v>0.60416666666666663</v>
      </c>
      <c r="C62" s="14">
        <v>0.625</v>
      </c>
      <c r="D62" s="178"/>
      <c r="E62" s="19">
        <v>0.61458333333333337</v>
      </c>
      <c r="F62" s="20">
        <v>0.64583333333333337</v>
      </c>
      <c r="G62" s="178"/>
      <c r="H62" s="15">
        <v>0.54166666666666663</v>
      </c>
      <c r="I62" s="16">
        <v>0.57291666666666663</v>
      </c>
      <c r="J62" s="178"/>
      <c r="K62" s="19">
        <v>0.45833333333333331</v>
      </c>
      <c r="L62" s="20">
        <v>0.47916666666666669</v>
      </c>
      <c r="M62" s="178"/>
      <c r="N62" s="19">
        <v>0.66666666666666663</v>
      </c>
      <c r="O62" s="20">
        <v>0.6875</v>
      </c>
      <c r="P62" s="178"/>
      <c r="Q62" s="203"/>
    </row>
    <row r="63" spans="1:18" hidden="1" x14ac:dyDescent="0.25">
      <c r="A63" s="22"/>
      <c r="B63" s="136"/>
      <c r="C63" s="141"/>
      <c r="D63" s="60"/>
      <c r="E63" s="135" t="s">
        <v>26</v>
      </c>
      <c r="F63" s="135"/>
      <c r="G63" s="5"/>
      <c r="H63" s="141"/>
      <c r="I63" s="141"/>
      <c r="J63" s="5"/>
      <c r="K63" s="136"/>
      <c r="L63" s="141"/>
      <c r="M63" s="23"/>
      <c r="N63" s="136"/>
      <c r="O63" s="141"/>
      <c r="P63" s="5"/>
      <c r="Q63" s="57"/>
    </row>
    <row r="64" spans="1:18" hidden="1" x14ac:dyDescent="0.25">
      <c r="A64" s="24" t="s">
        <v>12</v>
      </c>
      <c r="B64" s="11">
        <v>0.45833333333333331</v>
      </c>
      <c r="C64" s="12">
        <v>0.8125</v>
      </c>
      <c r="D64" s="166">
        <f>C64-B64+B65-C65</f>
        <v>0.32291666666666663</v>
      </c>
      <c r="E64" s="43">
        <v>0.26041666666666669</v>
      </c>
      <c r="F64" s="44">
        <v>0.60416666666666663</v>
      </c>
      <c r="G64" s="168">
        <f>F64-E64+E65-F65</f>
        <v>0.32291666666666657</v>
      </c>
      <c r="H64" s="43">
        <v>0.26041666666666669</v>
      </c>
      <c r="I64" s="44">
        <v>0.54166666666666663</v>
      </c>
      <c r="J64" s="168">
        <f>I64-H64+H65-I65</f>
        <v>0.26041666666666657</v>
      </c>
      <c r="K64" s="43">
        <v>0.54166666666666663</v>
      </c>
      <c r="L64" s="44">
        <v>0.83333333333333337</v>
      </c>
      <c r="M64" s="168">
        <f>L64-K64+K65-L65</f>
        <v>0.27083333333333348</v>
      </c>
      <c r="N64" s="43">
        <v>0.45833333333333331</v>
      </c>
      <c r="O64" s="44">
        <v>0.76041666666666663</v>
      </c>
      <c r="P64" s="181">
        <f>O64-N64+N65-O65</f>
        <v>0.27083333333333326</v>
      </c>
      <c r="Q64" s="204">
        <f>P64+M64+J64+G64+D64</f>
        <v>1.4479166666666665</v>
      </c>
    </row>
    <row r="65" spans="1:18" hidden="1" x14ac:dyDescent="0.25">
      <c r="A65" s="24" t="s">
        <v>6</v>
      </c>
      <c r="B65" s="11">
        <v>0.57291666666666663</v>
      </c>
      <c r="C65" s="12">
        <v>0.60416666666666663</v>
      </c>
      <c r="D65" s="167"/>
      <c r="E65" s="45">
        <v>0.45833333333333331</v>
      </c>
      <c r="F65" s="46">
        <v>0.47916666666666669</v>
      </c>
      <c r="G65" s="169"/>
      <c r="H65" s="45">
        <v>0.45833333333333331</v>
      </c>
      <c r="I65" s="46">
        <v>0.47916666666666669</v>
      </c>
      <c r="J65" s="169"/>
      <c r="K65" s="45">
        <v>0.64583333333333337</v>
      </c>
      <c r="L65" s="46">
        <v>0.66666666666666663</v>
      </c>
      <c r="M65" s="169"/>
      <c r="N65" s="45">
        <v>0.59375</v>
      </c>
      <c r="O65" s="46">
        <v>0.625</v>
      </c>
      <c r="P65" s="182"/>
      <c r="Q65" s="205"/>
    </row>
    <row r="66" spans="1:18" hidden="1" x14ac:dyDescent="0.25">
      <c r="A66" s="53"/>
      <c r="B66" s="54"/>
      <c r="C66" s="54"/>
      <c r="D66" s="54"/>
      <c r="E66" s="153"/>
      <c r="F66" s="153"/>
      <c r="G66" s="55"/>
      <c r="H66" s="153"/>
      <c r="I66" s="153"/>
      <c r="J66" s="56"/>
      <c r="K66" s="152"/>
      <c r="L66" s="153"/>
      <c r="M66" s="56"/>
      <c r="N66" s="219" t="s">
        <v>14</v>
      </c>
      <c r="O66" s="219"/>
      <c r="P66" s="54"/>
      <c r="Q66" s="57"/>
    </row>
    <row r="67" spans="1:18" hidden="1" x14ac:dyDescent="0.25">
      <c r="A67" s="26" t="s">
        <v>8</v>
      </c>
      <c r="B67" s="47">
        <v>0.34375</v>
      </c>
      <c r="C67" s="48">
        <v>0.625</v>
      </c>
      <c r="D67" s="154">
        <v>0.33333333333333331</v>
      </c>
      <c r="E67" s="27">
        <v>0.5625</v>
      </c>
      <c r="F67" s="28">
        <v>0.83333333333333337</v>
      </c>
      <c r="G67" s="156">
        <f>F67-E67+E68-F68</f>
        <v>0.25000000000000011</v>
      </c>
      <c r="H67" s="27">
        <v>0.45833333333333331</v>
      </c>
      <c r="I67" s="28">
        <v>0.80208333333333337</v>
      </c>
      <c r="J67" s="156">
        <f>I67-H67+H68-I68</f>
        <v>0.31250000000000011</v>
      </c>
      <c r="K67" s="27">
        <v>0.35416666666666669</v>
      </c>
      <c r="L67" s="28">
        <v>0.66666666666666663</v>
      </c>
      <c r="M67" s="156">
        <f>L67-K67+K68-L68</f>
        <v>0.28124999999999989</v>
      </c>
      <c r="N67" s="27">
        <v>0.26041666666666669</v>
      </c>
      <c r="O67" s="28">
        <v>0.54166666666666663</v>
      </c>
      <c r="P67" s="158">
        <f>O67-N67+N68-O68</f>
        <v>0.26041666666666652</v>
      </c>
      <c r="Q67" s="206">
        <f>P67+M67+J67+G67+D67</f>
        <v>1.4374999999999998</v>
      </c>
    </row>
    <row r="68" spans="1:18" hidden="1" x14ac:dyDescent="0.25">
      <c r="A68" s="26" t="s">
        <v>6</v>
      </c>
      <c r="B68" s="47">
        <v>0.54166666666666663</v>
      </c>
      <c r="C68" s="48">
        <v>0.57291666666666663</v>
      </c>
      <c r="D68" s="155"/>
      <c r="E68" s="29">
        <v>0.64583333333333337</v>
      </c>
      <c r="F68" s="30">
        <v>0.66666666666666663</v>
      </c>
      <c r="G68" s="157"/>
      <c r="H68" s="29">
        <v>0.57291666666666663</v>
      </c>
      <c r="I68" s="30">
        <v>0.60416666666666663</v>
      </c>
      <c r="J68" s="157"/>
      <c r="K68" s="29">
        <v>0.54166666666666663</v>
      </c>
      <c r="L68" s="30">
        <v>0.57291666666666663</v>
      </c>
      <c r="M68" s="157"/>
      <c r="N68" s="29">
        <v>0.54166666666666663</v>
      </c>
      <c r="O68" s="30">
        <v>0.5625</v>
      </c>
      <c r="P68" s="159"/>
      <c r="Q68" s="207"/>
    </row>
    <row r="69" spans="1:18" hidden="1" x14ac:dyDescent="0.25">
      <c r="A69" s="22"/>
      <c r="B69" s="220" t="s">
        <v>21</v>
      </c>
      <c r="C69" s="220"/>
      <c r="D69" s="5"/>
      <c r="E69" s="136"/>
      <c r="F69" s="141"/>
      <c r="G69" s="10"/>
      <c r="H69" s="135"/>
      <c r="I69" s="135"/>
      <c r="J69" s="10"/>
      <c r="K69" s="147" t="s">
        <v>11</v>
      </c>
      <c r="L69" s="147"/>
      <c r="M69" s="25"/>
      <c r="N69" s="217"/>
      <c r="O69" s="141"/>
      <c r="P69" s="10"/>
      <c r="Q69" s="57"/>
    </row>
    <row r="70" spans="1:18" hidden="1" x14ac:dyDescent="0.25">
      <c r="A70" s="31" t="s">
        <v>9</v>
      </c>
      <c r="B70" s="49">
        <v>0.26041666666666669</v>
      </c>
      <c r="C70" s="50">
        <v>0.54166666666666663</v>
      </c>
      <c r="D70" s="148">
        <v>0.34375</v>
      </c>
      <c r="E70" s="32">
        <v>0.34375</v>
      </c>
      <c r="F70" s="33">
        <v>0.66666666666666663</v>
      </c>
      <c r="G70" s="150">
        <f>F70-E70+E71-F71</f>
        <v>0.30208333333333326</v>
      </c>
      <c r="H70" s="32">
        <v>0.54166666666666663</v>
      </c>
      <c r="I70" s="33">
        <v>0.83333333333333337</v>
      </c>
      <c r="J70" s="150">
        <f>I70-H70+H71-I71</f>
        <v>0.27083333333333348</v>
      </c>
      <c r="K70" s="32">
        <v>0.45833333333333331</v>
      </c>
      <c r="L70" s="33">
        <v>0.76041666666666663</v>
      </c>
      <c r="M70" s="150">
        <f>L70-K70+K71-L71</f>
        <v>0.27083333333333337</v>
      </c>
      <c r="N70" s="32">
        <v>0.34375</v>
      </c>
      <c r="O70" s="33">
        <v>0.6875</v>
      </c>
      <c r="P70" s="162">
        <f>O70-N70+N71-O71</f>
        <v>0.3125</v>
      </c>
      <c r="Q70" s="198">
        <f>P70+M70+J70+G70+D70</f>
        <v>1.5</v>
      </c>
    </row>
    <row r="71" spans="1:18" hidden="1" x14ac:dyDescent="0.25">
      <c r="A71" s="31" t="s">
        <v>6</v>
      </c>
      <c r="B71" s="49">
        <v>0.45833333333333331</v>
      </c>
      <c r="C71" s="50">
        <v>0.47916666666666669</v>
      </c>
      <c r="D71" s="149"/>
      <c r="E71" s="34">
        <v>0.54166666666666663</v>
      </c>
      <c r="F71" s="35">
        <v>0.5625</v>
      </c>
      <c r="G71" s="151"/>
      <c r="H71" s="34">
        <v>0.64583333333333337</v>
      </c>
      <c r="I71" s="35">
        <v>0.66666666666666663</v>
      </c>
      <c r="J71" s="151"/>
      <c r="K71" s="34">
        <v>0.57291666666666663</v>
      </c>
      <c r="L71" s="35">
        <v>0.60416666666666663</v>
      </c>
      <c r="M71" s="151"/>
      <c r="N71" s="34">
        <v>0.5625</v>
      </c>
      <c r="O71" s="35">
        <v>0.59375</v>
      </c>
      <c r="P71" s="163"/>
      <c r="Q71" s="199"/>
    </row>
    <row r="72" spans="1:18" hidden="1" x14ac:dyDescent="0.25">
      <c r="A72" s="36"/>
      <c r="B72" s="220" t="s">
        <v>21</v>
      </c>
      <c r="C72" s="220"/>
      <c r="D72" s="37"/>
      <c r="E72" s="142"/>
      <c r="F72" s="142"/>
      <c r="G72" s="142"/>
      <c r="H72" s="147" t="s">
        <v>11</v>
      </c>
      <c r="I72" s="147"/>
      <c r="J72" s="37"/>
      <c r="K72" s="135"/>
      <c r="L72" s="135"/>
      <c r="M72" s="37"/>
      <c r="N72" s="136"/>
      <c r="O72" s="141"/>
      <c r="P72" s="37"/>
      <c r="Q72" s="107"/>
    </row>
    <row r="73" spans="1:18" hidden="1" x14ac:dyDescent="0.25">
      <c r="A73" s="38" t="s">
        <v>10</v>
      </c>
      <c r="B73" s="51">
        <v>0.47916666666666669</v>
      </c>
      <c r="C73" s="52">
        <v>0.8125</v>
      </c>
      <c r="D73" s="143">
        <f>C73-B73+B74-C74</f>
        <v>0.29166666666666663</v>
      </c>
      <c r="E73" s="39">
        <v>0.35416666666666669</v>
      </c>
      <c r="F73" s="40">
        <v>0.6875</v>
      </c>
      <c r="G73" s="145">
        <f>F73-E73+E74-F74</f>
        <v>0.29166666666666674</v>
      </c>
      <c r="H73" s="39">
        <v>0.47916666666666669</v>
      </c>
      <c r="I73" s="40">
        <v>0.8125</v>
      </c>
      <c r="J73" s="145">
        <f>I73-H73+H74-I74</f>
        <v>0.29166666666666663</v>
      </c>
      <c r="K73" s="39">
        <v>0.39583333333333331</v>
      </c>
      <c r="L73" s="40">
        <v>0.72916666666666663</v>
      </c>
      <c r="M73" s="145">
        <f>L73-K73+K74-L74</f>
        <v>0.29166666666666663</v>
      </c>
      <c r="N73" s="39">
        <v>0.41666666666666669</v>
      </c>
      <c r="O73" s="40">
        <v>0.75</v>
      </c>
      <c r="P73" s="130">
        <f>O73-N73+N74-O74</f>
        <v>0.29166666666666663</v>
      </c>
      <c r="Q73" s="132">
        <f>P73+M73+J73+G73+D73</f>
        <v>1.458333333333333</v>
      </c>
    </row>
    <row r="74" spans="1:18" hidden="1" x14ac:dyDescent="0.25">
      <c r="A74" s="38" t="s">
        <v>6</v>
      </c>
      <c r="B74" s="51">
        <v>0.5625</v>
      </c>
      <c r="C74" s="52">
        <v>0.60416666666666663</v>
      </c>
      <c r="D74" s="144"/>
      <c r="E74" s="41">
        <v>0.52083333333333337</v>
      </c>
      <c r="F74" s="42">
        <v>0.5625</v>
      </c>
      <c r="G74" s="146"/>
      <c r="H74" s="41">
        <v>0.60416666666666663</v>
      </c>
      <c r="I74" s="42">
        <v>0.64583333333333337</v>
      </c>
      <c r="J74" s="146"/>
      <c r="K74" s="41">
        <v>0.5625</v>
      </c>
      <c r="L74" s="42">
        <v>0.60416666666666663</v>
      </c>
      <c r="M74" s="146"/>
      <c r="N74" s="41">
        <v>0.54166666666666663</v>
      </c>
      <c r="O74" s="42">
        <v>0.58333333333333337</v>
      </c>
      <c r="P74" s="131"/>
      <c r="Q74" s="133"/>
    </row>
    <row r="75" spans="1:18" hidden="1" x14ac:dyDescent="0.25">
      <c r="A75" s="6"/>
      <c r="B75" s="209"/>
      <c r="C75" s="209"/>
      <c r="D75" s="7"/>
      <c r="E75" s="137"/>
      <c r="F75" s="137"/>
      <c r="G75" s="7"/>
      <c r="H75" s="9"/>
      <c r="I75" s="9"/>
      <c r="J75" s="7"/>
      <c r="K75" s="9"/>
      <c r="L75" s="9"/>
      <c r="M75" s="7"/>
      <c r="N75" s="9"/>
      <c r="O75" s="9"/>
      <c r="P75" s="7"/>
      <c r="Q75" s="104"/>
    </row>
    <row r="76" spans="1:18" hidden="1" x14ac:dyDescent="0.25">
      <c r="B76" s="138" t="s">
        <v>20</v>
      </c>
      <c r="C76" s="138"/>
      <c r="E76" s="126" t="s">
        <v>15</v>
      </c>
      <c r="F76" s="126"/>
    </row>
    <row r="77" spans="1:18" hidden="1" x14ac:dyDescent="0.25"/>
    <row r="78" spans="1:18" hidden="1" x14ac:dyDescent="0.25"/>
    <row r="79" spans="1:18" hidden="1" x14ac:dyDescent="0.25"/>
    <row r="80" spans="1:18" ht="15" hidden="1" customHeight="1" x14ac:dyDescent="0.25">
      <c r="A80" s="170" t="s">
        <v>18</v>
      </c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8"/>
    </row>
    <row r="81" spans="1:18" ht="15.75" hidden="1" customHeight="1" x14ac:dyDescent="0.3">
      <c r="A81" s="3"/>
      <c r="B81" s="171" t="s">
        <v>0</v>
      </c>
      <c r="C81" s="172"/>
      <c r="D81" s="173"/>
      <c r="E81" s="174" t="s">
        <v>1</v>
      </c>
      <c r="F81" s="175"/>
      <c r="G81" s="176"/>
      <c r="H81" s="174" t="s">
        <v>2</v>
      </c>
      <c r="I81" s="175"/>
      <c r="J81" s="176"/>
      <c r="K81" s="174" t="s">
        <v>3</v>
      </c>
      <c r="L81" s="175"/>
      <c r="M81" s="176"/>
      <c r="N81" s="174" t="s">
        <v>4</v>
      </c>
      <c r="O81" s="175"/>
      <c r="P81" s="176"/>
      <c r="Q81" s="102"/>
      <c r="R81" s="4"/>
    </row>
    <row r="82" spans="1:18" ht="14.25" hidden="1" customHeight="1" x14ac:dyDescent="0.25">
      <c r="A82" s="21" t="s">
        <v>5</v>
      </c>
      <c r="B82" s="13">
        <v>0.54166666666666663</v>
      </c>
      <c r="C82" s="14">
        <v>0.83333333333333337</v>
      </c>
      <c r="D82" s="177">
        <f>C82-B82+B83-C83</f>
        <v>0.27083333333333337</v>
      </c>
      <c r="E82" s="15">
        <v>0.34375</v>
      </c>
      <c r="F82" s="16">
        <v>0.66666666666666663</v>
      </c>
      <c r="G82" s="177">
        <f>F82-E82+E83-F83</f>
        <v>0.29166666666666663</v>
      </c>
      <c r="H82" s="17">
        <v>0.60416666666666663</v>
      </c>
      <c r="I82" s="18">
        <v>0.83333333333333337</v>
      </c>
      <c r="J82" s="177">
        <f>I82-H82+H83-I83</f>
        <v>0.22916666666666674</v>
      </c>
      <c r="K82" s="15">
        <v>0.41666666666666669</v>
      </c>
      <c r="L82" s="16">
        <v>0.76041666666666663</v>
      </c>
      <c r="M82" s="177">
        <f>L82-K82+K83-L83</f>
        <v>0.3125</v>
      </c>
      <c r="N82" s="15">
        <v>0.26041666666666669</v>
      </c>
      <c r="O82" s="16">
        <v>0.54166666666666663</v>
      </c>
      <c r="P82" s="177">
        <f>O82-N82+N83-O83</f>
        <v>0.26041666666666657</v>
      </c>
      <c r="Q82" s="179" t="s">
        <v>29</v>
      </c>
      <c r="R82" s="4"/>
    </row>
    <row r="83" spans="1:18" ht="14.25" hidden="1" customHeight="1" x14ac:dyDescent="0.25">
      <c r="A83" s="21" t="s">
        <v>6</v>
      </c>
      <c r="B83" s="13">
        <v>0.60416666666666663</v>
      </c>
      <c r="C83" s="14">
        <v>0.625</v>
      </c>
      <c r="D83" s="178"/>
      <c r="E83" s="19">
        <v>0.54166666666666663</v>
      </c>
      <c r="F83" s="20">
        <v>0.57291666666666663</v>
      </c>
      <c r="G83" s="178"/>
      <c r="H83" s="15"/>
      <c r="I83" s="16"/>
      <c r="J83" s="178"/>
      <c r="K83" s="19">
        <v>0.5625</v>
      </c>
      <c r="L83" s="20">
        <v>0.59375</v>
      </c>
      <c r="M83" s="178"/>
      <c r="N83" s="19">
        <v>0.45833333333333331</v>
      </c>
      <c r="O83" s="20">
        <v>0.47916666666666669</v>
      </c>
      <c r="P83" s="178"/>
      <c r="Q83" s="180"/>
      <c r="R83" s="4"/>
    </row>
    <row r="84" spans="1:18" ht="14.25" hidden="1" customHeight="1" x14ac:dyDescent="0.25">
      <c r="A84" s="22"/>
      <c r="B84" s="136"/>
      <c r="C84" s="141"/>
      <c r="D84" s="60"/>
      <c r="E84" s="141"/>
      <c r="F84" s="141"/>
      <c r="G84" s="5"/>
      <c r="H84" s="141"/>
      <c r="I84" s="141"/>
      <c r="J84" s="5"/>
      <c r="K84" s="135" t="s">
        <v>28</v>
      </c>
      <c r="L84" s="135"/>
      <c r="M84" s="23"/>
      <c r="N84" s="136"/>
      <c r="O84" s="141"/>
      <c r="P84" s="5"/>
      <c r="Q84" s="57"/>
      <c r="R84" s="4"/>
    </row>
    <row r="85" spans="1:18" ht="13.95" hidden="1" customHeight="1" x14ac:dyDescent="0.25">
      <c r="A85" s="24" t="s">
        <v>12</v>
      </c>
      <c r="B85" s="11">
        <v>0.45833333333333331</v>
      </c>
      <c r="C85" s="12">
        <v>0.8125</v>
      </c>
      <c r="D85" s="166">
        <f>C85-B85+B86-C86</f>
        <v>0.32291666666666663</v>
      </c>
      <c r="E85" s="43">
        <v>0.45833333333333331</v>
      </c>
      <c r="F85" s="44">
        <v>0.8125</v>
      </c>
      <c r="G85" s="168">
        <f>F85-E85+E86-F86</f>
        <v>0.32291666666666663</v>
      </c>
      <c r="H85" s="43">
        <v>0.52083333333333337</v>
      </c>
      <c r="I85" s="44">
        <v>0.8125</v>
      </c>
      <c r="J85" s="168">
        <f>I85-H85+H86-I86</f>
        <v>0.27083333333333326</v>
      </c>
      <c r="K85" s="43">
        <v>0.26041666666666669</v>
      </c>
      <c r="L85" s="44">
        <v>0.54166666666666663</v>
      </c>
      <c r="M85" s="168">
        <f>L85-K85+K86-L86</f>
        <v>0.26041666666666657</v>
      </c>
      <c r="N85" s="43">
        <v>0.41666666666666669</v>
      </c>
      <c r="O85" s="44">
        <v>0.71875</v>
      </c>
      <c r="P85" s="181">
        <f>O85-N85+N86-O86</f>
        <v>0.27083333333333337</v>
      </c>
      <c r="Q85" s="183" t="s">
        <v>30</v>
      </c>
      <c r="R85" s="4"/>
    </row>
    <row r="86" spans="1:18" ht="13.95" hidden="1" customHeight="1" x14ac:dyDescent="0.25">
      <c r="A86" s="24" t="s">
        <v>6</v>
      </c>
      <c r="B86" s="11">
        <v>0.57291666666666663</v>
      </c>
      <c r="C86" s="12">
        <v>0.60416666666666663</v>
      </c>
      <c r="D86" s="167"/>
      <c r="E86" s="45">
        <v>0.57291666666666663</v>
      </c>
      <c r="F86" s="46">
        <v>0.60416666666666663</v>
      </c>
      <c r="G86" s="169"/>
      <c r="H86" s="45">
        <v>0.625</v>
      </c>
      <c r="I86" s="46">
        <v>0.64583333333333337</v>
      </c>
      <c r="J86" s="169"/>
      <c r="K86" s="45">
        <v>0.45833333333333331</v>
      </c>
      <c r="L86" s="46">
        <v>0.47916666666666669</v>
      </c>
      <c r="M86" s="169"/>
      <c r="N86" s="45">
        <v>0.57291666666666663</v>
      </c>
      <c r="O86" s="46">
        <v>0.60416666666666663</v>
      </c>
      <c r="P86" s="182"/>
      <c r="Q86" s="184"/>
      <c r="R86" s="4"/>
    </row>
    <row r="87" spans="1:18" s="59" customFormat="1" ht="13.95" hidden="1" customHeight="1" x14ac:dyDescent="0.3">
      <c r="A87" s="53"/>
      <c r="B87" s="54"/>
      <c r="C87" s="54"/>
      <c r="D87" s="54"/>
      <c r="E87" s="147" t="s">
        <v>11</v>
      </c>
      <c r="F87" s="147"/>
      <c r="G87" s="55"/>
      <c r="H87" s="153"/>
      <c r="I87" s="153"/>
      <c r="J87" s="56"/>
      <c r="K87" s="152"/>
      <c r="L87" s="153"/>
      <c r="M87" s="56"/>
      <c r="N87" s="152"/>
      <c r="O87" s="153"/>
      <c r="P87" s="54"/>
      <c r="Q87" s="57"/>
      <c r="R87" s="58"/>
    </row>
    <row r="88" spans="1:18" ht="14.25" hidden="1" customHeight="1" x14ac:dyDescent="0.25">
      <c r="A88" s="26" t="s">
        <v>8</v>
      </c>
      <c r="B88" s="47">
        <v>0.26041666666666669</v>
      </c>
      <c r="C88" s="48">
        <v>0.54166666666666663</v>
      </c>
      <c r="D88" s="154">
        <f>C88-B88+B89-C89</f>
        <v>0.26041666666666657</v>
      </c>
      <c r="E88" s="27">
        <v>0.26041666666666669</v>
      </c>
      <c r="F88" s="28">
        <v>0.54166666666666663</v>
      </c>
      <c r="G88" s="156">
        <f>F88-E88+E89-F89</f>
        <v>0.26041666666666657</v>
      </c>
      <c r="H88" s="27">
        <v>0.29166666666666669</v>
      </c>
      <c r="I88" s="28">
        <v>0.52083333333333337</v>
      </c>
      <c r="J88" s="156">
        <v>0.29166666666666669</v>
      </c>
      <c r="K88" s="27">
        <v>0.54166666666666663</v>
      </c>
      <c r="L88" s="28">
        <v>0.83333333333333337</v>
      </c>
      <c r="M88" s="156">
        <f>L88-K88+K89-L89</f>
        <v>0.27083333333333337</v>
      </c>
      <c r="N88" s="27">
        <v>0.54166666666666663</v>
      </c>
      <c r="O88" s="28">
        <v>0.83333333333333337</v>
      </c>
      <c r="P88" s="158">
        <f>O88-N88+N89-O89</f>
        <v>0.27083333333333348</v>
      </c>
      <c r="Q88" s="160" t="s">
        <v>31</v>
      </c>
      <c r="R88" s="4"/>
    </row>
    <row r="89" spans="1:18" ht="14.25" hidden="1" customHeight="1" x14ac:dyDescent="0.25">
      <c r="A89" s="26" t="s">
        <v>6</v>
      </c>
      <c r="B89" s="47">
        <v>0.45833333333333331</v>
      </c>
      <c r="C89" s="48">
        <v>0.47916666666666669</v>
      </c>
      <c r="D89" s="155"/>
      <c r="E89" s="29">
        <v>0.45833333333333331</v>
      </c>
      <c r="F89" s="30">
        <v>0.47916666666666669</v>
      </c>
      <c r="G89" s="157"/>
      <c r="H89" s="29"/>
      <c r="I89" s="30"/>
      <c r="J89" s="157"/>
      <c r="K89" s="29">
        <v>0.63541666666666663</v>
      </c>
      <c r="L89" s="30">
        <v>0.65625</v>
      </c>
      <c r="M89" s="157"/>
      <c r="N89" s="29">
        <v>0.64583333333333337</v>
      </c>
      <c r="O89" s="30">
        <v>0.66666666666666663</v>
      </c>
      <c r="P89" s="159"/>
      <c r="Q89" s="161"/>
      <c r="R89" s="4"/>
    </row>
    <row r="90" spans="1:18" ht="14.25" hidden="1" customHeight="1" x14ac:dyDescent="0.25">
      <c r="A90" s="22"/>
      <c r="B90" s="139"/>
      <c r="C90" s="140"/>
      <c r="D90" s="5"/>
      <c r="E90" s="136"/>
      <c r="F90" s="141"/>
      <c r="G90" s="10"/>
      <c r="H90" s="139" t="s">
        <v>27</v>
      </c>
      <c r="I90" s="140"/>
      <c r="J90" s="10"/>
      <c r="K90" s="135"/>
      <c r="L90" s="135"/>
      <c r="M90" s="25"/>
      <c r="N90" s="147" t="s">
        <v>11</v>
      </c>
      <c r="O90" s="147"/>
      <c r="P90" s="10"/>
      <c r="Q90" s="57"/>
      <c r="R90" s="4"/>
    </row>
    <row r="91" spans="1:18" ht="14.25" hidden="1" customHeight="1" x14ac:dyDescent="0.25">
      <c r="A91" s="31" t="s">
        <v>9</v>
      </c>
      <c r="B91" s="49">
        <v>0.33333333333333331</v>
      </c>
      <c r="C91" s="50">
        <v>0.625</v>
      </c>
      <c r="D91" s="148">
        <v>0.29166666666666669</v>
      </c>
      <c r="E91" s="32">
        <v>0.54166666666666663</v>
      </c>
      <c r="F91" s="33">
        <v>0.83333333333333337</v>
      </c>
      <c r="G91" s="150">
        <f>F91-E91+E92-F92</f>
        <v>0.27083333333333348</v>
      </c>
      <c r="H91" s="32">
        <v>0.39583333333333331</v>
      </c>
      <c r="I91" s="33">
        <v>0.60416666666666663</v>
      </c>
      <c r="J91" s="150">
        <v>0.25</v>
      </c>
      <c r="K91" s="32">
        <v>0.34375</v>
      </c>
      <c r="L91" s="33">
        <v>0.65625</v>
      </c>
      <c r="M91" s="150">
        <f>L91-K91+K92-L92</f>
        <v>0.29166666666666663</v>
      </c>
      <c r="N91" s="32">
        <v>0.34375</v>
      </c>
      <c r="O91" s="33">
        <v>0.66666666666666663</v>
      </c>
      <c r="P91" s="162">
        <f>O91-N91+N92-O92</f>
        <v>0.29166666666666663</v>
      </c>
      <c r="Q91" s="164">
        <v>1.3958333333333333</v>
      </c>
      <c r="R91" s="4"/>
    </row>
    <row r="92" spans="1:18" ht="14.25" hidden="1" customHeight="1" x14ac:dyDescent="0.25">
      <c r="A92" s="31" t="s">
        <v>6</v>
      </c>
      <c r="B92" s="49" t="s">
        <v>7</v>
      </c>
      <c r="C92" s="50">
        <v>0.57291666666666663</v>
      </c>
      <c r="D92" s="149"/>
      <c r="E92" s="34">
        <v>0.64583333333333337</v>
      </c>
      <c r="F92" s="35">
        <v>0.66666666666666663</v>
      </c>
      <c r="G92" s="151"/>
      <c r="H92" s="34">
        <v>0.52083333333333337</v>
      </c>
      <c r="I92" s="35">
        <v>0.54166666666666663</v>
      </c>
      <c r="J92" s="151"/>
      <c r="K92" s="34">
        <v>0.54166666666666663</v>
      </c>
      <c r="L92" s="35">
        <v>0.5625</v>
      </c>
      <c r="M92" s="151"/>
      <c r="N92" s="34">
        <v>0.54166666666666663</v>
      </c>
      <c r="O92" s="35">
        <v>0.57291666666666663</v>
      </c>
      <c r="P92" s="163"/>
      <c r="Q92" s="165"/>
      <c r="R92" s="4"/>
    </row>
    <row r="93" spans="1:18" ht="14.25" hidden="1" customHeight="1" x14ac:dyDescent="0.25">
      <c r="A93" s="36"/>
      <c r="B93" s="139" t="s">
        <v>19</v>
      </c>
      <c r="C93" s="140"/>
      <c r="D93" s="37"/>
      <c r="E93" s="142"/>
      <c r="F93" s="142"/>
      <c r="G93" s="142"/>
      <c r="H93" s="139" t="s">
        <v>27</v>
      </c>
      <c r="I93" s="140"/>
      <c r="J93" s="37"/>
      <c r="K93" s="136"/>
      <c r="L93" s="141"/>
      <c r="M93" s="37"/>
      <c r="N93" s="135" t="s">
        <v>26</v>
      </c>
      <c r="O93" s="135"/>
      <c r="P93" s="37"/>
      <c r="Q93" s="107"/>
      <c r="R93" s="4"/>
    </row>
    <row r="94" spans="1:18" ht="14.25" hidden="1" customHeight="1" x14ac:dyDescent="0.25">
      <c r="A94" s="38" t="s">
        <v>10</v>
      </c>
      <c r="B94" s="51">
        <v>0.45833333333333331</v>
      </c>
      <c r="C94" s="52">
        <v>0.79166666666666663</v>
      </c>
      <c r="D94" s="143">
        <f>C94-B94+B95-C95</f>
        <v>0.29166666666666663</v>
      </c>
      <c r="E94" s="39">
        <v>0.33333333333333331</v>
      </c>
      <c r="F94" s="40">
        <v>0.66666666666666663</v>
      </c>
      <c r="G94" s="145">
        <f>F94-E94+E95-F95</f>
        <v>0.29166666666666674</v>
      </c>
      <c r="H94" s="39">
        <v>0.47916666666666669</v>
      </c>
      <c r="I94" s="40">
        <v>0.8125</v>
      </c>
      <c r="J94" s="145">
        <f>I94-H94+H95-I95</f>
        <v>0.29166666666666663</v>
      </c>
      <c r="K94" s="39">
        <v>0.3125</v>
      </c>
      <c r="L94" s="40">
        <v>0.64583333333333337</v>
      </c>
      <c r="M94" s="145">
        <f>L94-K94+K95-L95</f>
        <v>0.29166666666666674</v>
      </c>
      <c r="N94" s="39">
        <v>0.35416666666666669</v>
      </c>
      <c r="O94" s="40">
        <v>0.6875</v>
      </c>
      <c r="P94" s="130">
        <f>O94-N94+N95-O95</f>
        <v>0.29166666666666674</v>
      </c>
      <c r="Q94" s="132">
        <v>1.4583333333333333</v>
      </c>
      <c r="R94" s="4"/>
    </row>
    <row r="95" spans="1:18" ht="14.25" hidden="1" customHeight="1" x14ac:dyDescent="0.25">
      <c r="A95" s="38" t="s">
        <v>6</v>
      </c>
      <c r="B95" s="51">
        <v>0.5625</v>
      </c>
      <c r="C95" s="52">
        <v>0.60416666666666663</v>
      </c>
      <c r="D95" s="144"/>
      <c r="E95" s="41">
        <v>0.52083333333333337</v>
      </c>
      <c r="F95" s="42">
        <v>0.5625</v>
      </c>
      <c r="G95" s="146"/>
      <c r="H95" s="41">
        <v>0.5625</v>
      </c>
      <c r="I95" s="42">
        <v>0.60416666666666663</v>
      </c>
      <c r="J95" s="146"/>
      <c r="K95" s="41">
        <v>0.5</v>
      </c>
      <c r="L95" s="42">
        <v>0.54166666666666663</v>
      </c>
      <c r="M95" s="146"/>
      <c r="N95" s="41">
        <v>0.52083333333333337</v>
      </c>
      <c r="O95" s="42">
        <v>0.5625</v>
      </c>
      <c r="P95" s="131"/>
      <c r="Q95" s="133"/>
      <c r="R95" s="4"/>
    </row>
    <row r="96" spans="1:18" ht="15.75" hidden="1" customHeight="1" x14ac:dyDescent="0.25">
      <c r="A96" s="6"/>
      <c r="B96" s="125"/>
      <c r="C96" s="125"/>
      <c r="D96" s="7"/>
      <c r="E96" s="137"/>
      <c r="F96" s="137"/>
      <c r="G96" s="7"/>
      <c r="H96" s="9"/>
      <c r="I96" s="9"/>
      <c r="J96" s="7"/>
      <c r="K96" s="9"/>
      <c r="L96" s="9"/>
      <c r="M96" s="7"/>
      <c r="N96" s="9"/>
      <c r="O96" s="9"/>
      <c r="P96" s="7"/>
      <c r="Q96" s="104"/>
      <c r="R96" s="4"/>
    </row>
    <row r="97" spans="2:10" ht="14.4" hidden="1" customHeight="1" x14ac:dyDescent="0.25">
      <c r="B97" s="126"/>
      <c r="C97" s="126"/>
      <c r="H97" s="126" t="s">
        <v>32</v>
      </c>
      <c r="I97" s="126"/>
      <c r="J97" s="126"/>
    </row>
    <row r="98" spans="2:10" hidden="1" x14ac:dyDescent="0.25">
      <c r="B98" s="134"/>
      <c r="C98" s="134"/>
      <c r="H98" s="134" t="s">
        <v>24</v>
      </c>
      <c r="I98" s="134"/>
    </row>
  </sheetData>
  <mergeCells count="303">
    <mergeCell ref="H98:I98"/>
    <mergeCell ref="B47:C47"/>
    <mergeCell ref="E75:F75"/>
    <mergeCell ref="P70:P71"/>
    <mergeCell ref="Q70:Q71"/>
    <mergeCell ref="B72:C72"/>
    <mergeCell ref="E72:G72"/>
    <mergeCell ref="H72:I72"/>
    <mergeCell ref="K72:L72"/>
    <mergeCell ref="N72:O72"/>
    <mergeCell ref="D73:D74"/>
    <mergeCell ref="G73:G74"/>
    <mergeCell ref="J73:J74"/>
    <mergeCell ref="M73:M74"/>
    <mergeCell ref="P73:P74"/>
    <mergeCell ref="Q73:Q74"/>
    <mergeCell ref="Q67:Q68"/>
    <mergeCell ref="B69:C69"/>
    <mergeCell ref="E69:F69"/>
    <mergeCell ref="H69:I69"/>
    <mergeCell ref="K69:L69"/>
    <mergeCell ref="N69:O69"/>
    <mergeCell ref="D70:D71"/>
    <mergeCell ref="H50:I50"/>
    <mergeCell ref="G70:G71"/>
    <mergeCell ref="J70:J71"/>
    <mergeCell ref="M70:M71"/>
    <mergeCell ref="E66:F66"/>
    <mergeCell ref="H66:I66"/>
    <mergeCell ref="K66:L66"/>
    <mergeCell ref="N66:O66"/>
    <mergeCell ref="D67:D68"/>
    <mergeCell ref="G67:G68"/>
    <mergeCell ref="J67:J68"/>
    <mergeCell ref="M67:M68"/>
    <mergeCell ref="P67:P68"/>
    <mergeCell ref="B60:D60"/>
    <mergeCell ref="E60:G60"/>
    <mergeCell ref="H60:J60"/>
    <mergeCell ref="K60:M60"/>
    <mergeCell ref="N60:P60"/>
    <mergeCell ref="D61:D62"/>
    <mergeCell ref="G61:G62"/>
    <mergeCell ref="J61:J62"/>
    <mergeCell ref="M61:M62"/>
    <mergeCell ref="P61:P62"/>
    <mergeCell ref="Q61:Q62"/>
    <mergeCell ref="B63:C63"/>
    <mergeCell ref="E63:F63"/>
    <mergeCell ref="H63:I63"/>
    <mergeCell ref="K63:L63"/>
    <mergeCell ref="N63:O63"/>
    <mergeCell ref="D64:D65"/>
    <mergeCell ref="G64:G65"/>
    <mergeCell ref="J64:J65"/>
    <mergeCell ref="M64:M65"/>
    <mergeCell ref="P64:P65"/>
    <mergeCell ref="Q64:Q65"/>
    <mergeCell ref="D54:D55"/>
    <mergeCell ref="G54:G55"/>
    <mergeCell ref="J54:J55"/>
    <mergeCell ref="M54:M55"/>
    <mergeCell ref="P54:P55"/>
    <mergeCell ref="Q54:Q55"/>
    <mergeCell ref="E53:F53"/>
    <mergeCell ref="E56:F56"/>
    <mergeCell ref="A59:Q59"/>
    <mergeCell ref="K57:L57"/>
    <mergeCell ref="D51:D52"/>
    <mergeCell ref="G51:G52"/>
    <mergeCell ref="J51:J52"/>
    <mergeCell ref="M51:M52"/>
    <mergeCell ref="P51:P52"/>
    <mergeCell ref="Q51:Q52"/>
    <mergeCell ref="B53:C53"/>
    <mergeCell ref="H53:I53"/>
    <mergeCell ref="K53:L53"/>
    <mergeCell ref="N53:O53"/>
    <mergeCell ref="D48:D49"/>
    <mergeCell ref="G48:G49"/>
    <mergeCell ref="J48:J49"/>
    <mergeCell ref="M48:M49"/>
    <mergeCell ref="P48:P49"/>
    <mergeCell ref="Q48:Q49"/>
    <mergeCell ref="E50:F50"/>
    <mergeCell ref="K50:L50"/>
    <mergeCell ref="N50:O50"/>
    <mergeCell ref="D45:D46"/>
    <mergeCell ref="G45:G46"/>
    <mergeCell ref="J45:J46"/>
    <mergeCell ref="M45:M46"/>
    <mergeCell ref="P45:P46"/>
    <mergeCell ref="Q45:Q46"/>
    <mergeCell ref="E47:F47"/>
    <mergeCell ref="H47:I47"/>
    <mergeCell ref="K47:L47"/>
    <mergeCell ref="N47:O47"/>
    <mergeCell ref="D42:D43"/>
    <mergeCell ref="G42:G43"/>
    <mergeCell ref="J42:J43"/>
    <mergeCell ref="M42:M43"/>
    <mergeCell ref="P42:P43"/>
    <mergeCell ref="Q42:Q43"/>
    <mergeCell ref="B44:C44"/>
    <mergeCell ref="E44:F44"/>
    <mergeCell ref="H44:I44"/>
    <mergeCell ref="K44:L44"/>
    <mergeCell ref="N44:O44"/>
    <mergeCell ref="G14:G15"/>
    <mergeCell ref="J14:J15"/>
    <mergeCell ref="A40:Q40"/>
    <mergeCell ref="B41:D41"/>
    <mergeCell ref="E41:G41"/>
    <mergeCell ref="H41:J41"/>
    <mergeCell ref="K41:M41"/>
    <mergeCell ref="N41:P41"/>
    <mergeCell ref="Q14:Q15"/>
    <mergeCell ref="H16:I16"/>
    <mergeCell ref="D17:D18"/>
    <mergeCell ref="G17:G18"/>
    <mergeCell ref="J17:J18"/>
    <mergeCell ref="M17:M18"/>
    <mergeCell ref="P17:P18"/>
    <mergeCell ref="Q17:Q18"/>
    <mergeCell ref="K16:L16"/>
    <mergeCell ref="N16:O16"/>
    <mergeCell ref="D23:D24"/>
    <mergeCell ref="G23:G24"/>
    <mergeCell ref="J23:J24"/>
    <mergeCell ref="P14:P15"/>
    <mergeCell ref="B25:C25"/>
    <mergeCell ref="B31:C31"/>
    <mergeCell ref="A1:Q1"/>
    <mergeCell ref="Q5:Q6"/>
    <mergeCell ref="E7:F7"/>
    <mergeCell ref="H7:I7"/>
    <mergeCell ref="K7:L7"/>
    <mergeCell ref="N7:O7"/>
    <mergeCell ref="D5:D6"/>
    <mergeCell ref="G5:G6"/>
    <mergeCell ref="J5:J6"/>
    <mergeCell ref="M5:M6"/>
    <mergeCell ref="A3:Q3"/>
    <mergeCell ref="P5:P6"/>
    <mergeCell ref="B4:D4"/>
    <mergeCell ref="E4:G4"/>
    <mergeCell ref="H4:J4"/>
    <mergeCell ref="K4:M4"/>
    <mergeCell ref="N4:P4"/>
    <mergeCell ref="E76:F76"/>
    <mergeCell ref="B75:C75"/>
    <mergeCell ref="M14:M15"/>
    <mergeCell ref="E19:F19"/>
    <mergeCell ref="B7:C7"/>
    <mergeCell ref="E13:F13"/>
    <mergeCell ref="B13:C13"/>
    <mergeCell ref="B16:C16"/>
    <mergeCell ref="E16:G16"/>
    <mergeCell ref="H13:I13"/>
    <mergeCell ref="A21:Q21"/>
    <mergeCell ref="B22:D22"/>
    <mergeCell ref="E22:G22"/>
    <mergeCell ref="H22:J22"/>
    <mergeCell ref="K22:M22"/>
    <mergeCell ref="N22:P22"/>
    <mergeCell ref="D11:D12"/>
    <mergeCell ref="G11:G12"/>
    <mergeCell ref="J11:J12"/>
    <mergeCell ref="M11:M12"/>
    <mergeCell ref="P11:P12"/>
    <mergeCell ref="H10:I10"/>
    <mergeCell ref="N13:O13"/>
    <mergeCell ref="Q11:Q12"/>
    <mergeCell ref="Q8:Q9"/>
    <mergeCell ref="K10:L10"/>
    <mergeCell ref="N10:O10"/>
    <mergeCell ref="D8:D9"/>
    <mergeCell ref="G8:G9"/>
    <mergeCell ref="J8:J9"/>
    <mergeCell ref="M8:M9"/>
    <mergeCell ref="P8:P9"/>
    <mergeCell ref="E10:F10"/>
    <mergeCell ref="K13:L13"/>
    <mergeCell ref="N28:O28"/>
    <mergeCell ref="D29:D30"/>
    <mergeCell ref="G29:G30"/>
    <mergeCell ref="J29:J30"/>
    <mergeCell ref="M29:M30"/>
    <mergeCell ref="M23:M24"/>
    <mergeCell ref="P23:P24"/>
    <mergeCell ref="Q23:Q24"/>
    <mergeCell ref="E25:F25"/>
    <mergeCell ref="K25:L25"/>
    <mergeCell ref="N25:O25"/>
    <mergeCell ref="D26:D27"/>
    <mergeCell ref="G26:G27"/>
    <mergeCell ref="J26:J27"/>
    <mergeCell ref="M26:M27"/>
    <mergeCell ref="P26:P27"/>
    <mergeCell ref="Q26:Q27"/>
    <mergeCell ref="P29:P30"/>
    <mergeCell ref="Q29:Q30"/>
    <mergeCell ref="E20:F20"/>
    <mergeCell ref="H19:I19"/>
    <mergeCell ref="H25:I25"/>
    <mergeCell ref="D14:D15"/>
    <mergeCell ref="E31:F31"/>
    <mergeCell ref="H31:I31"/>
    <mergeCell ref="K31:L31"/>
    <mergeCell ref="N31:O31"/>
    <mergeCell ref="P31:Q31"/>
    <mergeCell ref="D32:D33"/>
    <mergeCell ref="G32:G33"/>
    <mergeCell ref="J32:J33"/>
    <mergeCell ref="M32:M33"/>
    <mergeCell ref="P32:P33"/>
    <mergeCell ref="Q32:Q33"/>
    <mergeCell ref="Q35:Q36"/>
    <mergeCell ref="B37:C37"/>
    <mergeCell ref="H37:I37"/>
    <mergeCell ref="K37:L37"/>
    <mergeCell ref="N37:O37"/>
    <mergeCell ref="K38:L38"/>
    <mergeCell ref="H38:I38"/>
    <mergeCell ref="B34:C34"/>
    <mergeCell ref="H34:I34"/>
    <mergeCell ref="K34:L34"/>
    <mergeCell ref="D35:D36"/>
    <mergeCell ref="G35:G36"/>
    <mergeCell ref="J35:J36"/>
    <mergeCell ref="M35:M36"/>
    <mergeCell ref="P35:P36"/>
    <mergeCell ref="E37:F37"/>
    <mergeCell ref="E34:F34"/>
    <mergeCell ref="E38:F38"/>
    <mergeCell ref="N34:P34"/>
    <mergeCell ref="N84:O84"/>
    <mergeCell ref="D85:D86"/>
    <mergeCell ref="G85:G86"/>
    <mergeCell ref="J85:J86"/>
    <mergeCell ref="M85:M86"/>
    <mergeCell ref="A80:Q80"/>
    <mergeCell ref="B81:D81"/>
    <mergeCell ref="E81:G81"/>
    <mergeCell ref="H81:J81"/>
    <mergeCell ref="K81:M81"/>
    <mergeCell ref="N81:P81"/>
    <mergeCell ref="D82:D83"/>
    <mergeCell ref="G82:G83"/>
    <mergeCell ref="J82:J83"/>
    <mergeCell ref="M82:M83"/>
    <mergeCell ref="P82:P83"/>
    <mergeCell ref="Q82:Q83"/>
    <mergeCell ref="P85:P86"/>
    <mergeCell ref="Q85:Q86"/>
    <mergeCell ref="N87:O87"/>
    <mergeCell ref="D88:D89"/>
    <mergeCell ref="G88:G89"/>
    <mergeCell ref="J88:J89"/>
    <mergeCell ref="M88:M89"/>
    <mergeCell ref="P88:P89"/>
    <mergeCell ref="Q88:Q89"/>
    <mergeCell ref="H93:I93"/>
    <mergeCell ref="K93:L93"/>
    <mergeCell ref="N93:O93"/>
    <mergeCell ref="P91:P92"/>
    <mergeCell ref="Q91:Q92"/>
    <mergeCell ref="E87:F87"/>
    <mergeCell ref="H87:I87"/>
    <mergeCell ref="K87:L87"/>
    <mergeCell ref="E93:G93"/>
    <mergeCell ref="D94:D95"/>
    <mergeCell ref="G94:G95"/>
    <mergeCell ref="J94:J95"/>
    <mergeCell ref="M94:M95"/>
    <mergeCell ref="N90:O90"/>
    <mergeCell ref="D91:D92"/>
    <mergeCell ref="G91:G92"/>
    <mergeCell ref="J91:J92"/>
    <mergeCell ref="M91:M92"/>
    <mergeCell ref="H97:J97"/>
    <mergeCell ref="B28:C28"/>
    <mergeCell ref="E28:F28"/>
    <mergeCell ref="H28:I28"/>
    <mergeCell ref="K28:L28"/>
    <mergeCell ref="P94:P95"/>
    <mergeCell ref="Q94:Q95"/>
    <mergeCell ref="B97:C97"/>
    <mergeCell ref="B98:C98"/>
    <mergeCell ref="K56:L56"/>
    <mergeCell ref="E96:F96"/>
    <mergeCell ref="E57:F57"/>
    <mergeCell ref="B76:C76"/>
    <mergeCell ref="B50:C50"/>
    <mergeCell ref="B90:C90"/>
    <mergeCell ref="E90:F90"/>
    <mergeCell ref="H90:I90"/>
    <mergeCell ref="K90:L90"/>
    <mergeCell ref="B84:C84"/>
    <mergeCell ref="E84:F84"/>
    <mergeCell ref="H84:I84"/>
    <mergeCell ref="K84:L84"/>
    <mergeCell ref="B93:C93"/>
  </mergeCells>
  <printOptions horizontalCentered="1"/>
  <pageMargins left="0.70866141732283472" right="0.70866141732283472" top="0.55118110236220474" bottom="0.55118110236220474" header="0.31496062992125984" footer="0.31496062992125984"/>
  <pageSetup paperSize="9" scale="9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planning MCHEM 08-0925.xlsx</dc:title>
  <dc:creator>Aurélie T</dc:creator>
  <cp:lastModifiedBy>Aurélie T</cp:lastModifiedBy>
  <cp:lastPrinted>2025-09-30T19:21:20Z</cp:lastPrinted>
  <dcterms:created xsi:type="dcterms:W3CDTF">2025-08-28T13:48:43Z</dcterms:created>
  <dcterms:modified xsi:type="dcterms:W3CDTF">2025-10-27T18:06:25Z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2025-08-09T00:00:00Z</vt:filetime>
  </property>
  <property fmtid="{D5CDD505-2E9C-101B-9397-08002B2CF9AE}" pid="3" name="LastSaved">
    <vt:filetime>2025-08-28T00:00:00Z</vt:filetime>
  </property>
  <property fmtid="{D5CDD505-2E9C-101B-9397-08002B2CF9AE}" pid="4" name="Producer">
    <vt:lpwstr>Microsoft: Print To PDF</vt:lpwstr>
  </property>
</Properties>
</file>