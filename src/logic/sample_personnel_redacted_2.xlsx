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<sst xmlns="http://schemas.openxmlformats.org/spreadsheetml/2006/main" count="54" uniqueCount="25">
  <si>
    <t xml:space="preserve">Planning du personnel - MCHEM - NOV 2025</t>
  </si>
  <si>
    <t xml:space="preserve">Semaine 4 du 03 au 07/11/25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</si>
  <si>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</si>
  <si>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</si>
  <si>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</si>
  <si>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</si>
  <si>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</si>
  <si>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Ilona R.</t>
  </si>
  <si>
    <t xml:space="preserve">pauses</t>
  </si>
  <si>
    <t xml:space="preserve">14h30-15h30</t>
  </si>
  <si>
    <t xml:space="preserve">Audrey B.</t>
  </si>
  <si>
    <t xml:space="preserve">Ghénima</t>
  </si>
  <si>
    <t xml:space="preserve">Magali M.</t>
  </si>
  <si>
    <t xml:space="preserve">A° Jaden</t>
  </si>
  <si>
    <t xml:space="preserve">14h-15h</t>
  </si>
  <si>
    <t xml:space="preserve">09h30-11h</t>
  </si>
  <si>
    <t xml:space="preserve">09h-11h30</t>
  </si>
  <si>
    <t xml:space="preserve">09h30-13h</t>
  </si>
  <si>
    <r>
      <rPr>
        <b val="true"/>
        <sz val="11"/>
        <color rgb="FFFF0000"/>
        <rFont val="Calibri"/>
        <family val="2"/>
        <charset val="1"/>
      </rPr>
      <t xml:space="preserve">11h-17h / </t>
    </r>
    <r>
      <rPr>
        <sz val="11"/>
        <color rgb="FF00B050"/>
        <rFont val="Calibri"/>
        <family val="2"/>
        <charset val="1"/>
      </rPr>
      <t xml:space="preserve">14h30-15h30</t>
    </r>
  </si>
  <si>
    <t xml:space="preserve">Léanne C.</t>
  </si>
  <si>
    <t xml:space="preserve">Réunion 13h30</t>
  </si>
  <si>
    <t xml:space="preserve">Semaine 1 du 10 au 14/11/25</t>
  </si>
  <si>
    <t xml:space="preserve">Férié</t>
  </si>
  <si>
    <t xml:space="preserve">10h-11h</t>
  </si>
  <si>
    <t xml:space="preserve">09h-10h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</si>
</sst>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"/>
    <numFmt numFmtId="166" formatCode="[h]:mm:ss;@"/>
    <numFmt numFmtId="167" formatCode="@"/>
    <numFmt numFmtId="168" formatCode="0.00"/>
    <numFmt numFmtId="169" formatCode="h:mm;@"/>
    <numFmt numFmtId="170" formatCode="[h]:mm:ss"/>
  </numFmts>
  <fonts count="24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3"/>
      <name val="Calibri"/>
      <family val="2"/>
      <charset val="1"/>
    </font>
    <font>
      <sz val="10.5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sz val="10"/>
      <color rgb="FFFF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  <fill>
      <patternFill patternType="solid">
        <fgColor rgb="FFB3C6E6"/>
        <bgColor rgb="FFB9CDE5"/>
      </patternFill>
    </fill>
    <fill>
      <patternFill patternType="solid">
        <fgColor theme="4" tint="0.5999"/>
        <bgColor rgb="FFB3C6E6"/>
      </patternFill>
    </fill>
    <fill>
      <patternFill patternType="solid">
        <fgColor rgb="FFCCFF99"/>
        <bgColor rgb="FFFFFFCC"/>
      </patternFill>
    </fill>
    <fill>
      <patternFill patternType="solid">
        <fgColor rgb="FFFFFF66"/>
        <bgColor rgb="FFCCFF99"/>
      </patternFill>
    </fill>
    <fill>
      <patternFill patternType="solid">
        <fgColor rgb="FFCC99FF"/>
        <bgColor rgb="FF9999FF"/>
      </patternFill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3C6E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99"/>
      <rgbColor rgb="FFFFFF66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"/>
  <sheetViews>
    <sheetView showFormulas="false" showGridLines="true" showRowColHeaders="true" showZeros="true" rightToLeft="false" tabSelected="true" showOutlineSymbols="true" defaultGridColor="true" view="normal" topLeftCell="A38" colorId="64" zoomScale="72" zoomScaleNormal="72" zoomScalePageLayoutView="100" workbookViewId="0">
      <selection pane="topLeft" activeCell="A58" activeCellId="0" sqref="A58:Q102"/>
    </sheetView>
  </sheetViews>
  <sheetFormatPr defaultColWidth="8.89453125" defaultRowHeight="14.25" zeroHeight="false" outlineLevelRow="0" outlineLevelCol="0"/>
  <cols>
    <col collapsed="false" customWidth="true" hidden="false" outlineLevel="0" max="1" min="1" style="0" width="16.22"/>
    <col collapsed="false" customWidth="true" hidden="false" outlineLevel="0" max="3" min="2" style="0" width="7.78"/>
    <col collapsed="false" customWidth="true" hidden="false" outlineLevel="0" max="4" min="4" style="1" width="7.78"/>
    <col collapsed="false" customWidth="true" hidden="false" outlineLevel="0" max="6" min="5" style="0" width="7.78"/>
    <col collapsed="false" customWidth="true" hidden="false" outlineLevel="0" max="7" min="7" style="1" width="7.78"/>
    <col collapsed="false" customWidth="true" hidden="false" outlineLevel="0" max="9" min="8" style="0" width="7.78"/>
    <col collapsed="false" customWidth="true" hidden="false" outlineLevel="0" max="10" min="10" style="1" width="7.78"/>
    <col collapsed="false" customWidth="true" hidden="false" outlineLevel="0" max="12" min="11" style="0" width="7.78"/>
    <col collapsed="false" customWidth="true" hidden="false" outlineLevel="0" max="13" min="13" style="1" width="7.78"/>
    <col collapsed="false" customWidth="true" hidden="false" outlineLevel="0" max="15" min="14" style="0" width="7.78"/>
    <col collapsed="false" customWidth="true" hidden="false" outlineLevel="0" max="16" min="16" style="1" width="7.78"/>
    <col collapsed="false" customWidth="true" hidden="false" outlineLevel="0" max="17" min="17" style="2" width="12.78"/>
    <col collapsed="false" customWidth="true" hidden="false" outlineLevel="0" max="18" min="18" style="0" width="29.11"/>
  </cols>
  <sheetData>
    <row r="1" customFormat="false" ht="27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customFormat="false" ht="15.75" hidden="false" customHeight="true" outlineLevel="0" collapsed="false">
      <c r="A4" s="7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11"/>
    </row>
    <row r="5" customFormat="false" ht="14.25" hidden="false" customHeight="true" outlineLevel="0" collapsed="false">
      <c r="A5" s="12"/>
      <c r="B5" s="13"/>
      <c r="C5" s="14"/>
      <c r="D5" s="13"/>
      <c r="E5" s="13"/>
      <c r="F5" s="14"/>
      <c r="G5" s="13"/>
      <c r="H5" s="15"/>
      <c r="I5" s="16"/>
      <c r="J5" s="13"/>
      <c r="K5" s="13"/>
      <c r="L5" s="14"/>
      <c r="M5" s="13"/>
      <c r="N5" s="17"/>
      <c r="O5" s="18"/>
      <c r="P5" s="13"/>
      <c r="Q5" s="19"/>
      <c r="R5" s="11"/>
    </row>
    <row r="6" customFormat="false" ht="14.25" hidden="false" customHeight="true" outlineLevel="0" collapsed="false">
      <c r="A6" s="12"/>
      <c r="B6" s="13"/>
      <c r="C6" s="14"/>
      <c r="D6" s="13"/>
      <c r="E6" s="20"/>
      <c r="F6" s="21"/>
      <c r="G6" s="13"/>
      <c r="H6" s="13"/>
      <c r="I6" s="14"/>
      <c r="J6" s="13"/>
      <c r="K6" s="20"/>
      <c r="L6" s="21"/>
      <c r="M6" s="13"/>
      <c r="N6" s="22"/>
      <c r="O6" s="23"/>
      <c r="P6" s="13"/>
      <c r="Q6" s="19"/>
      <c r="R6" s="11"/>
    </row>
    <row r="7" customFormat="false" ht="14.25" hidden="false" customHeight="true" outlineLevel="0" collapsed="false">
      <c r="A7" s="24"/>
      <c r="B7" s="25"/>
      <c r="C7" s="25"/>
      <c r="D7" s="26"/>
      <c r="E7" s="27"/>
      <c r="F7" s="27"/>
      <c r="G7" s="28"/>
      <c r="H7" s="27"/>
      <c r="I7" s="27"/>
      <c r="J7" s="28"/>
      <c r="K7" s="29"/>
      <c r="L7" s="29"/>
      <c r="M7" s="30"/>
      <c r="N7" s="31"/>
      <c r="O7" s="31"/>
      <c r="P7" s="28"/>
      <c r="Q7" s="32"/>
      <c r="R7" s="11"/>
    </row>
    <row r="8" customFormat="false" ht="13.5" hidden="false" customHeight="true" outlineLevel="0" collapsed="false">
      <c r="A8" s="33"/>
      <c r="B8" s="34"/>
      <c r="C8" s="35"/>
      <c r="D8" s="36"/>
      <c r="E8" s="34"/>
      <c r="F8" s="35"/>
      <c r="G8" s="37"/>
      <c r="H8" s="34"/>
      <c r="I8" s="35"/>
      <c r="J8" s="37"/>
      <c r="K8" s="34"/>
      <c r="L8" s="35"/>
      <c r="M8" s="37"/>
      <c r="N8" s="34"/>
      <c r="O8" s="35"/>
      <c r="P8" s="38"/>
      <c r="Q8" s="39"/>
      <c r="R8" s="11"/>
    </row>
    <row r="9" customFormat="false" ht="13.5" hidden="false" customHeight="true" outlineLevel="0" collapsed="false">
      <c r="A9" s="33"/>
      <c r="B9" s="34"/>
      <c r="C9" s="35"/>
      <c r="D9" s="36"/>
      <c r="E9" s="40"/>
      <c r="F9" s="41"/>
      <c r="G9" s="37"/>
      <c r="H9" s="40"/>
      <c r="I9" s="41"/>
      <c r="J9" s="37"/>
      <c r="K9" s="40"/>
      <c r="L9" s="41"/>
      <c r="M9" s="37"/>
      <c r="N9" s="40"/>
      <c r="O9" s="41"/>
      <c r="P9" s="38"/>
      <c r="Q9" s="39"/>
      <c r="R9" s="11"/>
    </row>
    <row r="10" s="47" customFormat="true" ht="13.5" hidden="false" customHeight="true" outlineLevel="0" collapsed="false">
      <c r="A10" s="42"/>
      <c r="B10" s="43"/>
      <c r="C10" s="43"/>
      <c r="D10" s="43"/>
      <c r="E10" s="27"/>
      <c r="F10" s="27"/>
      <c r="G10" s="44"/>
      <c r="H10" s="27"/>
      <c r="I10" s="27"/>
      <c r="J10" s="45"/>
      <c r="K10" s="25"/>
      <c r="L10" s="25"/>
      <c r="M10" s="45"/>
      <c r="N10" s="25"/>
      <c r="O10" s="25"/>
      <c r="P10" s="43"/>
      <c r="Q10" s="32"/>
      <c r="R10" s="46"/>
    </row>
    <row r="11" customFormat="false" ht="14.25" hidden="false" customHeight="true" outlineLevel="0" collapsed="false">
      <c r="A11" s="48"/>
      <c r="B11" s="49"/>
      <c r="C11" s="50"/>
      <c r="D11" s="49"/>
      <c r="E11" s="51"/>
      <c r="F11" s="52"/>
      <c r="G11" s="53"/>
      <c r="H11" s="51"/>
      <c r="I11" s="52"/>
      <c r="J11" s="53"/>
      <c r="K11" s="51"/>
      <c r="L11" s="52"/>
      <c r="M11" s="53"/>
      <c r="N11" s="51"/>
      <c r="O11" s="52"/>
      <c r="P11" s="50"/>
      <c r="Q11" s="54"/>
      <c r="R11" s="11"/>
    </row>
    <row r="12" customFormat="false" ht="14.25" hidden="false" customHeight="true" outlineLevel="0" collapsed="false">
      <c r="A12" s="48"/>
      <c r="B12" s="49"/>
      <c r="C12" s="50"/>
      <c r="D12" s="49"/>
      <c r="E12" s="55"/>
      <c r="F12" s="56"/>
      <c r="G12" s="53"/>
      <c r="H12" s="55"/>
      <c r="I12" s="56"/>
      <c r="J12" s="53"/>
      <c r="K12" s="55"/>
      <c r="L12" s="56"/>
      <c r="M12" s="53"/>
      <c r="N12" s="55"/>
      <c r="O12" s="56"/>
      <c r="P12" s="50"/>
      <c r="Q12" s="54"/>
      <c r="R12" s="11"/>
    </row>
    <row r="13" customFormat="false" ht="14.25" hidden="false" customHeight="true" outlineLevel="0" collapsed="false">
      <c r="A13" s="24"/>
      <c r="B13" s="25"/>
      <c r="C13" s="25"/>
      <c r="D13" s="28"/>
      <c r="E13" s="25"/>
      <c r="F13" s="25"/>
      <c r="G13" s="57"/>
      <c r="H13" s="27"/>
      <c r="I13" s="27"/>
      <c r="J13" s="57"/>
      <c r="K13" s="27"/>
      <c r="L13" s="27"/>
      <c r="M13" s="58"/>
      <c r="N13" s="29"/>
      <c r="O13" s="29"/>
      <c r="P13" s="57"/>
      <c r="Q13" s="32"/>
      <c r="R13" s="11"/>
    </row>
    <row r="14" customFormat="false" ht="14.25" hidden="false" customHeight="true" outlineLevel="0" collapsed="false">
      <c r="A14" s="59"/>
      <c r="B14" s="60"/>
      <c r="C14" s="61"/>
      <c r="D14" s="60"/>
      <c r="E14" s="62"/>
      <c r="F14" s="63"/>
      <c r="G14" s="64"/>
      <c r="H14" s="62"/>
      <c r="I14" s="63"/>
      <c r="J14" s="64"/>
      <c r="K14" s="62"/>
      <c r="L14" s="63"/>
      <c r="M14" s="64"/>
      <c r="N14" s="62"/>
      <c r="O14" s="63"/>
      <c r="P14" s="61"/>
      <c r="Q14" s="65"/>
      <c r="R14" s="11"/>
    </row>
    <row r="15" customFormat="false" ht="14.25" hidden="false" customHeight="true" outlineLevel="0" collapsed="false">
      <c r="A15" s="59"/>
      <c r="B15" s="60"/>
      <c r="C15" s="61"/>
      <c r="D15" s="60"/>
      <c r="E15" s="66"/>
      <c r="F15" s="67"/>
      <c r="G15" s="64"/>
      <c r="H15" s="66"/>
      <c r="I15" s="67"/>
      <c r="J15" s="64"/>
      <c r="K15" s="66"/>
      <c r="L15" s="67"/>
      <c r="M15" s="64"/>
      <c r="N15" s="66"/>
      <c r="O15" s="67"/>
      <c r="P15" s="61"/>
      <c r="Q15" s="65"/>
      <c r="R15" s="11"/>
    </row>
    <row r="16" customFormat="false" ht="14.25" hidden="false" customHeight="true" outlineLevel="0" collapsed="false">
      <c r="A16" s="68"/>
      <c r="B16" s="29"/>
      <c r="C16" s="29"/>
      <c r="D16" s="69"/>
      <c r="E16" s="70"/>
      <c r="F16" s="70"/>
      <c r="G16" s="70"/>
      <c r="H16" s="29"/>
      <c r="I16" s="29"/>
      <c r="J16" s="69"/>
      <c r="K16" s="25"/>
      <c r="L16" s="25"/>
      <c r="M16" s="69"/>
      <c r="N16" s="25"/>
      <c r="O16" s="25"/>
      <c r="P16" s="69"/>
      <c r="Q16" s="71"/>
      <c r="R16" s="11"/>
    </row>
    <row r="17" customFormat="false" ht="14.25" hidden="false" customHeight="true" outlineLevel="0" collapsed="false">
      <c r="A17" s="72"/>
      <c r="B17" s="73"/>
      <c r="C17" s="74"/>
      <c r="D17" s="73"/>
      <c r="E17" s="73"/>
      <c r="F17" s="74"/>
      <c r="G17" s="75"/>
      <c r="H17" s="76"/>
      <c r="I17" s="77"/>
      <c r="J17" s="75"/>
      <c r="K17" s="76"/>
      <c r="L17" s="77"/>
      <c r="M17" s="75"/>
      <c r="N17" s="76"/>
      <c r="O17" s="77"/>
      <c r="P17" s="74"/>
      <c r="Q17" s="78"/>
      <c r="R17" s="11"/>
    </row>
    <row r="18" customFormat="false" ht="14.25" hidden="false" customHeight="true" outlineLevel="0" collapsed="false">
      <c r="A18" s="72"/>
      <c r="B18" s="73"/>
      <c r="C18" s="74"/>
      <c r="D18" s="73"/>
      <c r="E18" s="73"/>
      <c r="F18" s="74"/>
      <c r="G18" s="75"/>
      <c r="H18" s="79"/>
      <c r="I18" s="80"/>
      <c r="J18" s="75"/>
      <c r="K18" s="79"/>
      <c r="L18" s="80"/>
      <c r="M18" s="75"/>
      <c r="N18" s="79"/>
      <c r="O18" s="80"/>
      <c r="P18" s="74"/>
      <c r="Q18" s="78"/>
      <c r="R18" s="11"/>
    </row>
    <row r="19" customFormat="false" ht="15.75" hidden="false" customHeight="true" outlineLevel="0" collapsed="false">
      <c r="A19" s="81"/>
      <c r="B19" s="82"/>
      <c r="C19" s="82"/>
      <c r="D19" s="82"/>
      <c r="E19" s="83"/>
      <c r="F19" s="83"/>
      <c r="G19" s="82"/>
      <c r="H19" s="84"/>
      <c r="I19" s="84"/>
      <c r="J19" s="82"/>
      <c r="K19" s="85"/>
      <c r="L19" s="85"/>
      <c r="M19" s="82"/>
      <c r="N19" s="85"/>
      <c r="O19" s="85"/>
      <c r="P19" s="82"/>
      <c r="Q19" s="86"/>
      <c r="R19" s="11"/>
    </row>
    <row r="20" customFormat="false" ht="15.75" hidden="false" customHeight="true" outlineLevel="0" collapsed="false">
      <c r="A20" s="87"/>
      <c r="B20" s="87"/>
      <c r="C20" s="87"/>
      <c r="D20" s="87"/>
      <c r="E20" s="88"/>
      <c r="F20" s="88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11"/>
    </row>
    <row r="21" customFormat="false" ht="15" hidden="false" customHeight="true" outlineLevel="0" collapsed="false">
      <c r="A21" s="89" t="s">
        <v>1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6"/>
    </row>
    <row r="22" customFormat="false" ht="15.75" hidden="false" customHeight="true" outlineLevel="0" collapsed="false">
      <c r="A22" s="90"/>
      <c r="B22" s="91" t="s">
        <v>2</v>
      </c>
      <c r="C22" s="91"/>
      <c r="D22" s="91"/>
      <c r="E22" s="91" t="s">
        <v>3</v>
      </c>
      <c r="F22" s="91"/>
      <c r="G22" s="91"/>
      <c r="H22" s="91" t="s">
        <v>4</v>
      </c>
      <c r="I22" s="91"/>
      <c r="J22" s="91"/>
      <c r="K22" s="91" t="s">
        <v>5</v>
      </c>
      <c r="L22" s="91"/>
      <c r="M22" s="91"/>
      <c r="N22" s="91" t="s">
        <v>6</v>
      </c>
      <c r="O22" s="91"/>
      <c r="P22" s="91"/>
      <c r="Q22" s="90"/>
      <c r="R22" s="11"/>
    </row>
    <row r="23" customFormat="false" ht="14.25" hidden="false" customHeight="true" outlineLevel="0" collapsed="false">
      <c r="A23" s="92" t="s">
        <v>7</v>
      </c>
      <c r="B23" s="13" t="n">
        <v>0.34375</v>
      </c>
      <c r="C23" s="14" t="n">
        <v>0.645833333333333</v>
      </c>
      <c r="D23" s="13" t="n">
        <f aca="false">C23-B23+B24-C24</f>
        <v>0.270833333333333</v>
      </c>
      <c r="E23" s="13" t="n">
        <v>0.5625</v>
      </c>
      <c r="F23" s="14" t="n">
        <v>0.90625</v>
      </c>
      <c r="G23" s="13" t="n">
        <f aca="false">F23-E23+E24-F24</f>
        <v>0.322916666666667</v>
      </c>
      <c r="H23" s="13" t="n">
        <v>0.395833333333333</v>
      </c>
      <c r="I23" s="14" t="n">
        <v>0.71875</v>
      </c>
      <c r="J23" s="13" t="n">
        <f aca="false">I23-H23+H24-I24</f>
        <v>0.291666666666667</v>
      </c>
      <c r="K23" s="15" t="n">
        <v>0.34375</v>
      </c>
      <c r="L23" s="93" t="n">
        <v>0.666666666666667</v>
      </c>
      <c r="M23" s="13" t="n">
        <f aca="false">L23-K23+K24-L24</f>
        <v>0.291666666666667</v>
      </c>
      <c r="N23" s="13" t="n">
        <v>0.260416666666667</v>
      </c>
      <c r="O23" s="14" t="n">
        <v>0.583333333333333</v>
      </c>
      <c r="P23" s="13" t="n">
        <f aca="false">O23-N23+N24-O24</f>
        <v>0.302083333333333</v>
      </c>
      <c r="Q23" s="94" t="n">
        <f aca="false">P23+M23+J23+G23+D23</f>
        <v>1.47916666666667</v>
      </c>
      <c r="R23" s="11"/>
    </row>
    <row r="24" customFormat="false" ht="14.25" hidden="false" customHeight="true" outlineLevel="0" collapsed="false">
      <c r="A24" s="92" t="s">
        <v>8</v>
      </c>
      <c r="B24" s="20" t="n">
        <v>0.572916666666667</v>
      </c>
      <c r="C24" s="21" t="n">
        <v>0.604166666666667</v>
      </c>
      <c r="D24" s="13"/>
      <c r="E24" s="95" t="n">
        <v>0.645833333333333</v>
      </c>
      <c r="F24" s="96" t="n">
        <v>0.666666666666667</v>
      </c>
      <c r="G24" s="13"/>
      <c r="H24" s="97" t="n">
        <v>0.572916666666667</v>
      </c>
      <c r="I24" s="96" t="n">
        <v>0.604166666666667</v>
      </c>
      <c r="J24" s="13"/>
      <c r="K24" s="97" t="n">
        <v>0.541666666666667</v>
      </c>
      <c r="L24" s="98" t="n">
        <v>0.572916666666667</v>
      </c>
      <c r="M24" s="13"/>
      <c r="N24" s="97" t="n">
        <v>0.458333333333333</v>
      </c>
      <c r="O24" s="96" t="n">
        <v>0.479166666666667</v>
      </c>
      <c r="P24" s="13"/>
      <c r="Q24" s="94"/>
      <c r="R24" s="11"/>
    </row>
    <row r="25" customFormat="false" ht="14.25" hidden="false" customHeight="true" outlineLevel="0" collapsed="false">
      <c r="A25" s="99"/>
      <c r="B25" s="31"/>
      <c r="C25" s="31"/>
      <c r="D25" s="100"/>
      <c r="E25" s="101"/>
      <c r="F25" s="101"/>
      <c r="G25" s="100"/>
      <c r="H25" s="102" t="s">
        <v>9</v>
      </c>
      <c r="I25" s="102"/>
      <c r="J25" s="100"/>
      <c r="K25" s="101"/>
      <c r="L25" s="101"/>
      <c r="M25" s="100"/>
      <c r="N25" s="103"/>
      <c r="O25" s="103"/>
      <c r="P25" s="100"/>
      <c r="Q25" s="104"/>
      <c r="R25" s="11"/>
    </row>
    <row r="26" customFormat="false" ht="13.5" hidden="false" customHeight="true" outlineLevel="0" collapsed="false">
      <c r="A26" s="105" t="s">
        <v>10</v>
      </c>
      <c r="B26" s="106" t="n">
        <v>0.541666666666667</v>
      </c>
      <c r="C26" s="107" t="n">
        <v>0.822916666666667</v>
      </c>
      <c r="D26" s="36" t="n">
        <f aca="false">C26-B26+B27-C27</f>
        <v>0.260416666666667</v>
      </c>
      <c r="E26" s="108" t="n">
        <v>0.395833333333333</v>
      </c>
      <c r="F26" s="109" t="n">
        <v>0.760416666666667</v>
      </c>
      <c r="G26" s="36" t="n">
        <f aca="false">F26-E26+E27-F27</f>
        <v>0.322916666666667</v>
      </c>
      <c r="H26" s="110" t="n">
        <v>0.583333333333333</v>
      </c>
      <c r="I26" s="109" t="n">
        <v>0.90625</v>
      </c>
      <c r="J26" s="36" t="n">
        <f aca="false">I26-H26+H27-I27</f>
        <v>0.302083333333333</v>
      </c>
      <c r="K26" s="110" t="n">
        <v>0.458333333333333</v>
      </c>
      <c r="L26" s="111" t="n">
        <v>0.760416666666667</v>
      </c>
      <c r="M26" s="36" t="n">
        <f aca="false">L26-K26+K27-L27</f>
        <v>0.270833333333333</v>
      </c>
      <c r="N26" s="110" t="n">
        <v>0.364583333333333</v>
      </c>
      <c r="O26" s="111" t="n">
        <v>0.666666666666667</v>
      </c>
      <c r="P26" s="36" t="n">
        <f aca="false">O26-N26+N27-O27</f>
        <v>0.270833333333333</v>
      </c>
      <c r="Q26" s="112" t="n">
        <f aca="false">P26+M26+J26+G26+D26</f>
        <v>1.42708333333333</v>
      </c>
      <c r="R26" s="11"/>
    </row>
    <row r="27" customFormat="false" ht="13.5" hidden="false" customHeight="true" outlineLevel="0" collapsed="false">
      <c r="A27" s="105" t="s">
        <v>8</v>
      </c>
      <c r="B27" s="110" t="n">
        <v>0.625</v>
      </c>
      <c r="C27" s="111" t="n">
        <v>0.645833333333333</v>
      </c>
      <c r="D27" s="36"/>
      <c r="E27" s="110" t="n">
        <v>0.604166666666667</v>
      </c>
      <c r="F27" s="109" t="n">
        <v>0.645833333333333</v>
      </c>
      <c r="G27" s="36"/>
      <c r="H27" s="110" t="n">
        <v>0.645833333333333</v>
      </c>
      <c r="I27" s="109" t="n">
        <v>0.666666666666667</v>
      </c>
      <c r="J27" s="36"/>
      <c r="K27" s="113" t="n">
        <v>0.572916666666667</v>
      </c>
      <c r="L27" s="114" t="n">
        <v>0.604166666666667</v>
      </c>
      <c r="M27" s="36"/>
      <c r="N27" s="110" t="n">
        <v>0.541666666666667</v>
      </c>
      <c r="O27" s="114" t="n">
        <v>0.572916666666667</v>
      </c>
      <c r="P27" s="36"/>
      <c r="Q27" s="112"/>
      <c r="R27" s="11"/>
    </row>
    <row r="28" s="47" customFormat="true" ht="13.5" hidden="false" customHeight="true" outlineLevel="0" collapsed="false">
      <c r="A28" s="115"/>
      <c r="B28" s="116"/>
      <c r="C28" s="116"/>
      <c r="D28" s="117"/>
      <c r="E28" s="101"/>
      <c r="F28" s="101"/>
      <c r="G28" s="117"/>
      <c r="H28" s="118"/>
      <c r="I28" s="118"/>
      <c r="J28" s="117"/>
      <c r="K28" s="102" t="s">
        <v>9</v>
      </c>
      <c r="L28" s="102"/>
      <c r="M28" s="117"/>
      <c r="N28" s="103"/>
      <c r="O28" s="103"/>
      <c r="P28" s="117"/>
      <c r="Q28" s="119"/>
      <c r="R28" s="46"/>
    </row>
    <row r="29" customFormat="false" ht="14.25" hidden="false" customHeight="true" outlineLevel="0" collapsed="false">
      <c r="A29" s="48" t="s">
        <v>11</v>
      </c>
      <c r="B29" s="120" t="n">
        <v>0.260416666666667</v>
      </c>
      <c r="C29" s="121" t="n">
        <v>0.541666666666667</v>
      </c>
      <c r="D29" s="49" t="n">
        <f aca="false">C29-B29+B30-C30</f>
        <v>0.260416666666667</v>
      </c>
      <c r="E29" s="51" t="n">
        <v>0.34375</v>
      </c>
      <c r="F29" s="52" t="n">
        <v>0.666666666666667</v>
      </c>
      <c r="G29" s="49" t="n">
        <f aca="false">F29-E29+E30-F30</f>
        <v>0.302083333333333</v>
      </c>
      <c r="H29" s="51" t="n">
        <v>0.34375</v>
      </c>
      <c r="I29" s="122" t="n">
        <v>0.666666666666667</v>
      </c>
      <c r="J29" s="123" t="n">
        <f aca="false">I29-H29+H30-I30</f>
        <v>0.291666666666667</v>
      </c>
      <c r="K29" s="122" t="n">
        <v>0.583333333333333</v>
      </c>
      <c r="L29" s="124" t="n">
        <v>0.90625</v>
      </c>
      <c r="M29" s="49" t="n">
        <f aca="false">L29-K29+K30-L30</f>
        <v>0.302083333333333</v>
      </c>
      <c r="N29" s="51" t="n">
        <v>0.583333333333333</v>
      </c>
      <c r="O29" s="124" t="n">
        <v>0.90625</v>
      </c>
      <c r="P29" s="49" t="n">
        <f aca="false">O29-N29+N30-O30</f>
        <v>0.302083333333333</v>
      </c>
      <c r="Q29" s="125" t="n">
        <f aca="false">P29+M29+J29+G29+D29</f>
        <v>1.45833333333333</v>
      </c>
      <c r="R29" s="11"/>
    </row>
    <row r="30" customFormat="false" ht="14.25" hidden="false" customHeight="true" outlineLevel="0" collapsed="false">
      <c r="A30" s="126" t="s">
        <v>8</v>
      </c>
      <c r="B30" s="127" t="n">
        <v>0.458333333333333</v>
      </c>
      <c r="C30" s="128" t="n">
        <v>0.479166666666667</v>
      </c>
      <c r="D30" s="49"/>
      <c r="E30" s="127" t="n">
        <v>0.541666666666667</v>
      </c>
      <c r="F30" s="129" t="n">
        <v>0.5625</v>
      </c>
      <c r="G30" s="49"/>
      <c r="H30" s="127" t="n">
        <v>0.541666666666667</v>
      </c>
      <c r="I30" s="130" t="n">
        <v>0.572916666666667</v>
      </c>
      <c r="J30" s="123"/>
      <c r="K30" s="130" t="n">
        <v>0.645833333333333</v>
      </c>
      <c r="L30" s="129" t="n">
        <v>0.666666666666667</v>
      </c>
      <c r="M30" s="49"/>
      <c r="N30" s="127" t="n">
        <v>0.645833333333333</v>
      </c>
      <c r="O30" s="129" t="n">
        <v>0.666666666666667</v>
      </c>
      <c r="P30" s="49"/>
      <c r="Q30" s="125"/>
      <c r="R30" s="11"/>
    </row>
    <row r="31" customFormat="false" ht="14.25" hidden="false" customHeight="true" outlineLevel="0" collapsed="false">
      <c r="A31" s="99"/>
      <c r="B31" s="131"/>
      <c r="C31" s="131"/>
      <c r="D31" s="100"/>
      <c r="E31" s="132"/>
      <c r="F31" s="132"/>
      <c r="G31" s="100"/>
      <c r="H31" s="132"/>
      <c r="I31" s="132"/>
      <c r="J31" s="100"/>
      <c r="K31" s="133"/>
      <c r="L31" s="133"/>
      <c r="M31" s="134"/>
      <c r="N31" s="135"/>
      <c r="O31" s="135"/>
      <c r="P31" s="136"/>
      <c r="Q31" s="136"/>
      <c r="R31" s="11"/>
    </row>
    <row r="32" customFormat="false" ht="14.25" hidden="false" customHeight="true" outlineLevel="0" collapsed="false">
      <c r="A32" s="137" t="s">
        <v>12</v>
      </c>
      <c r="B32" s="138" t="n">
        <v>0.458333333333333</v>
      </c>
      <c r="C32" s="139" t="n">
        <v>0.760416666666667</v>
      </c>
      <c r="D32" s="140" t="n">
        <f aca="false">C32-B32+B33-C33</f>
        <v>0.270833333333333</v>
      </c>
      <c r="E32" s="138" t="n">
        <v>0.260416666666667</v>
      </c>
      <c r="F32" s="139" t="n">
        <v>0.604166666666667</v>
      </c>
      <c r="G32" s="140" t="n">
        <f aca="false">F32-E32+E33-F33</f>
        <v>0.322916666666667</v>
      </c>
      <c r="H32" s="141" t="n">
        <v>0.260416666666667</v>
      </c>
      <c r="I32" s="141" t="n">
        <v>0.583333333333333</v>
      </c>
      <c r="J32" s="60" t="n">
        <f aca="false">I32-H32+H33-I33</f>
        <v>0.302083333333333</v>
      </c>
      <c r="K32" s="142" t="n">
        <v>0.260416666666667</v>
      </c>
      <c r="L32" s="143" t="n">
        <v>0.583333333333333</v>
      </c>
      <c r="M32" s="61" t="n">
        <f aca="false">L32-K32+K33-L33</f>
        <v>0.302083333333333</v>
      </c>
      <c r="N32" s="141" t="n">
        <v>0.458333333333333</v>
      </c>
      <c r="O32" s="141" t="n">
        <v>0.739583333333333</v>
      </c>
      <c r="P32" s="60" t="n">
        <f aca="false">O32-N32+N33-O33</f>
        <v>0.25</v>
      </c>
      <c r="Q32" s="144" t="n">
        <f aca="false">P32+M32+J32+G32+D32</f>
        <v>1.44791666666667</v>
      </c>
      <c r="R32" s="11"/>
    </row>
    <row r="33" customFormat="false" ht="14.25" hidden="false" customHeight="true" outlineLevel="0" collapsed="false">
      <c r="A33" s="137" t="s">
        <v>8</v>
      </c>
      <c r="B33" s="142" t="n">
        <v>0.541666666666667</v>
      </c>
      <c r="C33" s="143" t="n">
        <v>0.572916666666667</v>
      </c>
      <c r="D33" s="140"/>
      <c r="E33" s="142" t="n">
        <v>0.458333333333333</v>
      </c>
      <c r="F33" s="143" t="n">
        <v>0.479166666666667</v>
      </c>
      <c r="G33" s="140"/>
      <c r="H33" s="142" t="n">
        <v>0.458333333333333</v>
      </c>
      <c r="I33" s="141" t="n">
        <v>0.479166666666667</v>
      </c>
      <c r="J33" s="60"/>
      <c r="K33" s="145" t="n">
        <v>0.458333333333333</v>
      </c>
      <c r="L33" s="146" t="n">
        <v>0.479166666666667</v>
      </c>
      <c r="M33" s="61"/>
      <c r="N33" s="147" t="n">
        <v>0.572916666666667</v>
      </c>
      <c r="O33" s="147" t="n">
        <v>0.604166666666667</v>
      </c>
      <c r="P33" s="60"/>
      <c r="Q33" s="144"/>
      <c r="R33" s="11"/>
    </row>
    <row r="34" s="157" customFormat="true" ht="14.25" hidden="false" customHeight="true" outlineLevel="0" collapsed="false">
      <c r="A34" s="148" t="s">
        <v>13</v>
      </c>
      <c r="B34" s="149" t="s">
        <v>14</v>
      </c>
      <c r="C34" s="149"/>
      <c r="D34" s="150"/>
      <c r="E34" s="151" t="s">
        <v>15</v>
      </c>
      <c r="F34" s="151"/>
      <c r="G34" s="150"/>
      <c r="H34" s="152" t="s">
        <v>16</v>
      </c>
      <c r="I34" s="152"/>
      <c r="J34" s="150"/>
      <c r="K34" s="153" t="s">
        <v>17</v>
      </c>
      <c r="L34" s="153"/>
      <c r="M34" s="150"/>
      <c r="N34" s="154" t="s">
        <v>18</v>
      </c>
      <c r="O34" s="154"/>
      <c r="P34" s="154"/>
      <c r="Q34" s="155"/>
      <c r="R34" s="156"/>
    </row>
    <row r="35" customFormat="false" ht="14.25" hidden="false" customHeight="true" outlineLevel="0" collapsed="false">
      <c r="A35" s="158" t="s">
        <v>19</v>
      </c>
      <c r="B35" s="159" t="n">
        <v>0.354166666666667</v>
      </c>
      <c r="C35" s="160" t="n">
        <v>0.6875</v>
      </c>
      <c r="D35" s="161" t="n">
        <f aca="false">(C35-B35)-(C36-B36)</f>
        <v>0.291666666666667</v>
      </c>
      <c r="E35" s="162" t="n">
        <v>0.395833333333333</v>
      </c>
      <c r="F35" s="163" t="n">
        <v>0.729166666666667</v>
      </c>
      <c r="G35" s="161" t="n">
        <f aca="false">(F35-E35)-(F36-E36)</f>
        <v>0.291666666666667</v>
      </c>
      <c r="H35" s="162" t="n">
        <v>0.333333333333333</v>
      </c>
      <c r="I35" s="163" t="n">
        <v>0.666666666666667</v>
      </c>
      <c r="J35" s="161" t="n">
        <f aca="false">(I35-H35)-(I36-H36)</f>
        <v>0.291666666666667</v>
      </c>
      <c r="K35" s="162"/>
      <c r="L35" s="163"/>
      <c r="M35" s="161" t="n">
        <f aca="false">(L35-K35)-(L36-K36)</f>
        <v>0</v>
      </c>
      <c r="N35" s="162"/>
      <c r="O35" s="163"/>
      <c r="P35" s="161" t="n">
        <f aca="false">(O35-N35)-(O36-N36)</f>
        <v>0</v>
      </c>
      <c r="Q35" s="164" t="n">
        <f aca="false">P35+M35+J35+G35+D35</f>
        <v>0.875</v>
      </c>
      <c r="R35" s="11"/>
    </row>
    <row r="36" customFormat="false" ht="14.25" hidden="false" customHeight="true" outlineLevel="0" collapsed="false">
      <c r="A36" s="158" t="s">
        <v>8</v>
      </c>
      <c r="B36" s="162" t="n">
        <v>0.541666666666667</v>
      </c>
      <c r="C36" s="163" t="n">
        <v>0.583333333333333</v>
      </c>
      <c r="D36" s="161"/>
      <c r="E36" s="165" t="n">
        <v>0.520833333333333</v>
      </c>
      <c r="F36" s="166" t="n">
        <v>0.5625</v>
      </c>
      <c r="G36" s="161"/>
      <c r="H36" s="165" t="n">
        <v>0.520833333333333</v>
      </c>
      <c r="I36" s="166" t="n">
        <v>0.5625</v>
      </c>
      <c r="J36" s="161"/>
      <c r="K36" s="165"/>
      <c r="L36" s="166"/>
      <c r="M36" s="161"/>
      <c r="N36" s="167"/>
      <c r="O36" s="167"/>
      <c r="P36" s="161"/>
      <c r="Q36" s="164"/>
      <c r="R36" s="11"/>
    </row>
    <row r="37" customFormat="false" ht="15.75" hidden="false" customHeight="true" outlineLevel="0" collapsed="false">
      <c r="A37" s="168"/>
      <c r="B37" s="169"/>
      <c r="C37" s="169"/>
      <c r="D37" s="170"/>
      <c r="E37" s="132"/>
      <c r="F37" s="132"/>
      <c r="G37" s="170"/>
      <c r="H37" s="101"/>
      <c r="I37" s="101"/>
      <c r="J37" s="170"/>
      <c r="K37" s="169"/>
      <c r="L37" s="169"/>
      <c r="M37" s="170"/>
      <c r="N37" s="101"/>
      <c r="O37" s="101"/>
      <c r="P37" s="170"/>
      <c r="Q37" s="171"/>
      <c r="R37" s="11"/>
    </row>
    <row r="38" customFormat="false" ht="15.75" hidden="false" customHeight="true" outlineLevel="0" collapsed="false">
      <c r="A38" s="172"/>
      <c r="B38" s="172"/>
      <c r="C38" s="172"/>
      <c r="D38" s="172"/>
      <c r="E38" s="173" t="s">
        <v>20</v>
      </c>
      <c r="F38" s="173"/>
      <c r="G38" s="174"/>
      <c r="H38" s="175"/>
      <c r="I38" s="175"/>
      <c r="J38" s="172"/>
      <c r="K38" s="88"/>
      <c r="L38" s="88"/>
      <c r="M38" s="176"/>
      <c r="N38" s="172"/>
      <c r="O38" s="172"/>
      <c r="P38" s="172"/>
      <c r="Q38" s="172"/>
      <c r="R38" s="11"/>
    </row>
    <row r="39" customFormat="false" ht="15.75" hidden="false" customHeight="true" outlineLevel="0" collapsed="false">
      <c r="A39" s="172"/>
      <c r="B39" s="172"/>
      <c r="C39" s="172"/>
      <c r="D39" s="172"/>
      <c r="E39" s="177"/>
      <c r="F39" s="178"/>
      <c r="G39" s="174"/>
      <c r="H39" s="175"/>
      <c r="I39" s="175"/>
      <c r="J39" s="172"/>
      <c r="K39" s="88"/>
      <c r="L39" s="88"/>
      <c r="M39" s="176"/>
      <c r="N39" s="172"/>
      <c r="O39" s="172"/>
      <c r="P39" s="172"/>
      <c r="Q39" s="172"/>
      <c r="R39" s="11"/>
    </row>
    <row r="40" customFormat="false" ht="15" hidden="false" customHeight="true" outlineLevel="0" collapsed="false">
      <c r="A40" s="179" t="s">
        <v>21</v>
      </c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6"/>
    </row>
    <row r="41" customFormat="false" ht="15.75" hidden="false" customHeight="true" outlineLevel="0" collapsed="false">
      <c r="A41" s="180"/>
      <c r="B41" s="181" t="s">
        <v>2</v>
      </c>
      <c r="C41" s="181"/>
      <c r="D41" s="181"/>
      <c r="E41" s="181" t="s">
        <v>3</v>
      </c>
      <c r="F41" s="181"/>
      <c r="G41" s="181"/>
      <c r="H41" s="181" t="s">
        <v>4</v>
      </c>
      <c r="I41" s="181"/>
      <c r="J41" s="181"/>
      <c r="K41" s="181" t="s">
        <v>5</v>
      </c>
      <c r="L41" s="181"/>
      <c r="M41" s="181"/>
      <c r="N41" s="181" t="s">
        <v>6</v>
      </c>
      <c r="O41" s="181"/>
      <c r="P41" s="181"/>
      <c r="Q41" s="182"/>
      <c r="R41" s="11"/>
    </row>
    <row r="42" customFormat="false" ht="14.25" hidden="false" customHeight="true" outlineLevel="0" collapsed="false">
      <c r="A42" s="183" t="s">
        <v>7</v>
      </c>
      <c r="B42" s="13" t="n">
        <v>0.395833333333333</v>
      </c>
      <c r="C42" s="14" t="n">
        <v>0.71875</v>
      </c>
      <c r="D42" s="13" t="n">
        <f aca="false">C42-B42+B43-C43</f>
        <v>0.291666666666667</v>
      </c>
      <c r="E42" s="184" t="s">
        <v>22</v>
      </c>
      <c r="F42" s="14"/>
      <c r="G42" s="13" t="n">
        <v>0.291666666666667</v>
      </c>
      <c r="H42" s="15" t="n">
        <v>0.260416666666667</v>
      </c>
      <c r="I42" s="16" t="n">
        <v>0.541666666666667</v>
      </c>
      <c r="J42" s="13" t="n">
        <f aca="false">I42-H42+H43-I43</f>
        <v>0.260416666666667</v>
      </c>
      <c r="K42" s="13" t="n">
        <v>0.541666666666667</v>
      </c>
      <c r="L42" s="14" t="n">
        <v>0.833333333333333</v>
      </c>
      <c r="M42" s="13" t="n">
        <f aca="false">L42-K42+K43-L43</f>
        <v>0.270833333333334</v>
      </c>
      <c r="N42" s="13" t="n">
        <v>0.458333333333333</v>
      </c>
      <c r="O42" s="14" t="n">
        <v>0.802083333333333</v>
      </c>
      <c r="P42" s="13" t="n">
        <f aca="false">O42-N42+N43-O43</f>
        <v>0.3125</v>
      </c>
      <c r="Q42" s="94" t="n">
        <f aca="false">P42+M42+J42+G42+D42</f>
        <v>1.42708333333333</v>
      </c>
      <c r="R42" s="11"/>
    </row>
    <row r="43" customFormat="false" ht="14.25" hidden="false" customHeight="true" outlineLevel="0" collapsed="false">
      <c r="A43" s="183" t="s">
        <v>8</v>
      </c>
      <c r="B43" s="13" t="n">
        <v>0.572916666666667</v>
      </c>
      <c r="C43" s="14" t="n">
        <v>0.604166666666667</v>
      </c>
      <c r="D43" s="13"/>
      <c r="E43" s="20"/>
      <c r="F43" s="21"/>
      <c r="G43" s="13"/>
      <c r="H43" s="13" t="n">
        <v>0.458333333333333</v>
      </c>
      <c r="I43" s="14" t="n">
        <v>0.479166666666667</v>
      </c>
      <c r="J43" s="13"/>
      <c r="K43" s="20" t="n">
        <v>0.645833333333333</v>
      </c>
      <c r="L43" s="21" t="n">
        <v>0.666666666666667</v>
      </c>
      <c r="M43" s="13"/>
      <c r="N43" s="20" t="n">
        <v>0.572916666666667</v>
      </c>
      <c r="O43" s="21" t="n">
        <v>0.604166666666667</v>
      </c>
      <c r="P43" s="13"/>
      <c r="Q43" s="94"/>
      <c r="R43" s="11"/>
    </row>
    <row r="44" customFormat="false" ht="14.25" hidden="false" customHeight="true" outlineLevel="0" collapsed="false">
      <c r="A44" s="24"/>
      <c r="B44" s="185" t="s">
        <v>9</v>
      </c>
      <c r="C44" s="185"/>
      <c r="D44" s="26"/>
      <c r="E44" s="27"/>
      <c r="F44" s="27"/>
      <c r="G44" s="28"/>
      <c r="H44" s="27"/>
      <c r="I44" s="27"/>
      <c r="J44" s="28"/>
      <c r="K44" s="25"/>
      <c r="L44" s="25"/>
      <c r="M44" s="30"/>
      <c r="N44" s="101"/>
      <c r="O44" s="101"/>
      <c r="P44" s="28"/>
      <c r="Q44" s="186"/>
      <c r="R44" s="11"/>
    </row>
    <row r="45" customFormat="false" ht="13.5" hidden="false" customHeight="true" outlineLevel="0" collapsed="false">
      <c r="A45" s="105" t="s">
        <v>10</v>
      </c>
      <c r="B45" s="34" t="n">
        <v>0.34375</v>
      </c>
      <c r="C45" s="35" t="n">
        <v>0.666666666666667</v>
      </c>
      <c r="D45" s="36" t="n">
        <f aca="false">C45-B45+B46-C46</f>
        <v>0.291666666666667</v>
      </c>
      <c r="E45" s="187" t="s">
        <v>22</v>
      </c>
      <c r="F45" s="35"/>
      <c r="G45" s="37" t="n">
        <v>0.291666666666667</v>
      </c>
      <c r="H45" s="34" t="n">
        <v>0.34375</v>
      </c>
      <c r="I45" s="35" t="n">
        <v>0.666666666666667</v>
      </c>
      <c r="J45" s="37" t="n">
        <f aca="false">I45-H45+H46-I46</f>
        <v>0.291666666666667</v>
      </c>
      <c r="K45" s="34" t="n">
        <v>0.364583333333333</v>
      </c>
      <c r="L45" s="35" t="n">
        <v>0.666666666666667</v>
      </c>
      <c r="M45" s="37" t="n">
        <f aca="false">L45-K45+K46-L46</f>
        <v>0.28125</v>
      </c>
      <c r="N45" s="34" t="n">
        <v>0.260416666666667</v>
      </c>
      <c r="O45" s="35" t="n">
        <v>0.541666666666667</v>
      </c>
      <c r="P45" s="38" t="n">
        <f aca="false">O45-N45+N46-O46</f>
        <v>0.260416666666667</v>
      </c>
      <c r="Q45" s="112" t="n">
        <f aca="false">P45+M45+J45+G45+D45</f>
        <v>1.41666666666667</v>
      </c>
      <c r="R45" s="11"/>
    </row>
    <row r="46" customFormat="false" ht="13.5" hidden="false" customHeight="true" outlineLevel="0" collapsed="false">
      <c r="A46" s="105" t="s">
        <v>8</v>
      </c>
      <c r="B46" s="34" t="n">
        <v>0.541666666666667</v>
      </c>
      <c r="C46" s="35" t="n">
        <v>0.572916666666667</v>
      </c>
      <c r="D46" s="36"/>
      <c r="E46" s="40"/>
      <c r="F46" s="41"/>
      <c r="G46" s="37"/>
      <c r="H46" s="40" t="n">
        <v>0.541666666666667</v>
      </c>
      <c r="I46" s="41" t="n">
        <v>0.572916666666667</v>
      </c>
      <c r="J46" s="37"/>
      <c r="K46" s="40" t="n">
        <v>0.541666666666667</v>
      </c>
      <c r="L46" s="41" t="n">
        <v>0.5625</v>
      </c>
      <c r="M46" s="37"/>
      <c r="N46" s="40" t="n">
        <v>0.458333333333333</v>
      </c>
      <c r="O46" s="41" t="n">
        <v>0.479166666666667</v>
      </c>
      <c r="P46" s="38"/>
      <c r="Q46" s="112"/>
      <c r="R46" s="11"/>
    </row>
    <row r="47" s="47" customFormat="true" ht="13.5" hidden="false" customHeight="true" outlineLevel="0" collapsed="false">
      <c r="A47" s="42"/>
      <c r="B47" s="185"/>
      <c r="C47" s="185"/>
      <c r="D47" s="43"/>
      <c r="E47" s="27"/>
      <c r="F47" s="27"/>
      <c r="G47" s="44"/>
      <c r="H47" s="185"/>
      <c r="I47" s="185"/>
      <c r="J47" s="45"/>
      <c r="K47" s="185" t="s">
        <v>23</v>
      </c>
      <c r="L47" s="185"/>
      <c r="M47" s="45"/>
      <c r="N47" s="101"/>
      <c r="O47" s="101"/>
      <c r="P47" s="43"/>
      <c r="Q47" s="186"/>
      <c r="R47" s="46"/>
    </row>
    <row r="48" customFormat="false" ht="14.25" hidden="false" customHeight="true" outlineLevel="0" collapsed="false">
      <c r="A48" s="188" t="s">
        <v>11</v>
      </c>
      <c r="B48" s="49" t="n">
        <v>0.541666666666667</v>
      </c>
      <c r="C48" s="50" t="n">
        <v>0.833333333333333</v>
      </c>
      <c r="D48" s="49" t="n">
        <f aca="false">C48-B48+B49-C49</f>
        <v>0.270833333333334</v>
      </c>
      <c r="E48" s="189" t="s">
        <v>22</v>
      </c>
      <c r="F48" s="52"/>
      <c r="G48" s="53" t="n">
        <v>0.291666666666667</v>
      </c>
      <c r="H48" s="51" t="n">
        <v>0.458333333333333</v>
      </c>
      <c r="I48" s="52" t="n">
        <v>0.760416666666667</v>
      </c>
      <c r="J48" s="53" t="n">
        <f aca="false">I48-H48+H49-I49</f>
        <v>0.270833333333333</v>
      </c>
      <c r="K48" s="51" t="n">
        <v>0.291666666666667</v>
      </c>
      <c r="L48" s="52" t="n">
        <v>0.604166666666667</v>
      </c>
      <c r="M48" s="53" t="n">
        <f aca="false">L48-K48+K49-L49</f>
        <v>0.291666666666667</v>
      </c>
      <c r="N48" s="51" t="n">
        <v>0.34375</v>
      </c>
      <c r="O48" s="52" t="n">
        <v>0.666666666666667</v>
      </c>
      <c r="P48" s="53" t="n">
        <f aca="false">O48-N48+N49-O49</f>
        <v>0.291666666666667</v>
      </c>
      <c r="Q48" s="125" t="n">
        <f aca="false">P48+M48+J48+G48+D48</f>
        <v>1.41666666666667</v>
      </c>
      <c r="R48" s="11"/>
    </row>
    <row r="49" customFormat="false" ht="14.25" hidden="false" customHeight="true" outlineLevel="0" collapsed="false">
      <c r="A49" s="188" t="s">
        <v>8</v>
      </c>
      <c r="B49" s="49" t="n">
        <v>0.645833333333333</v>
      </c>
      <c r="C49" s="50" t="n">
        <v>0.666666666666667</v>
      </c>
      <c r="D49" s="49"/>
      <c r="E49" s="55"/>
      <c r="F49" s="56"/>
      <c r="G49" s="53"/>
      <c r="H49" s="55" t="n">
        <v>0.572916666666667</v>
      </c>
      <c r="I49" s="56" t="n">
        <v>0.604166666666667</v>
      </c>
      <c r="J49" s="53"/>
      <c r="K49" s="55" t="n">
        <v>0.458333333333333</v>
      </c>
      <c r="L49" s="56" t="n">
        <v>0.479166666666667</v>
      </c>
      <c r="M49" s="53"/>
      <c r="N49" s="55" t="n">
        <v>0.541666666666667</v>
      </c>
      <c r="O49" s="56" t="n">
        <v>0.572916666666667</v>
      </c>
      <c r="P49" s="53"/>
      <c r="Q49" s="125"/>
      <c r="R49" s="11"/>
    </row>
    <row r="50" s="197" customFormat="true" ht="14.25" hidden="false" customHeight="true" outlineLevel="0" collapsed="false">
      <c r="A50" s="190"/>
      <c r="B50" s="176"/>
      <c r="C50" s="176"/>
      <c r="D50" s="191"/>
      <c r="E50" s="25"/>
      <c r="F50" s="25"/>
      <c r="G50" s="192"/>
      <c r="H50" s="185" t="s">
        <v>9</v>
      </c>
      <c r="I50" s="185"/>
      <c r="J50" s="192"/>
      <c r="K50" s="25"/>
      <c r="L50" s="25"/>
      <c r="M50" s="193"/>
      <c r="N50" s="25"/>
      <c r="O50" s="25"/>
      <c r="P50" s="194"/>
      <c r="Q50" s="195"/>
      <c r="R50" s="196"/>
    </row>
    <row r="51" customFormat="false" ht="14.25" hidden="false" customHeight="true" outlineLevel="0" collapsed="false">
      <c r="A51" s="198" t="s">
        <v>12</v>
      </c>
      <c r="B51" s="60" t="n">
        <v>0.260416666666667</v>
      </c>
      <c r="C51" s="61" t="n">
        <v>0.541666666666667</v>
      </c>
      <c r="D51" s="64" t="n">
        <f aca="false">C51-B51+B52-C52</f>
        <v>0.260416666666667</v>
      </c>
      <c r="E51" s="199" t="s">
        <v>22</v>
      </c>
      <c r="F51" s="63"/>
      <c r="G51" s="64" t="n">
        <v>0.291666666666667</v>
      </c>
      <c r="H51" s="62" t="n">
        <v>0.541666666666667</v>
      </c>
      <c r="I51" s="63" t="n">
        <v>0.833333333333333</v>
      </c>
      <c r="J51" s="64" t="n">
        <f aca="false">I51-H51+H52-I52</f>
        <v>0.270833333333334</v>
      </c>
      <c r="K51" s="62" t="n">
        <v>0.375</v>
      </c>
      <c r="L51" s="63" t="n">
        <v>0.71875</v>
      </c>
      <c r="M51" s="64" t="n">
        <f aca="false">L51-K51+K52-L52</f>
        <v>0.3125</v>
      </c>
      <c r="N51" s="62" t="n">
        <v>0.541666666666667</v>
      </c>
      <c r="O51" s="63" t="n">
        <v>0.833333333333333</v>
      </c>
      <c r="P51" s="61" t="n">
        <f aca="false">O51-N51+N52-O52</f>
        <v>0.270833333333334</v>
      </c>
      <c r="Q51" s="144" t="n">
        <f aca="false">P51+M51+J51+G51+D51</f>
        <v>1.40625</v>
      </c>
      <c r="R51" s="11"/>
    </row>
    <row r="52" customFormat="false" ht="14.25" hidden="false" customHeight="true" outlineLevel="0" collapsed="false">
      <c r="A52" s="198" t="s">
        <v>8</v>
      </c>
      <c r="B52" s="60" t="n">
        <v>0.458333333333333</v>
      </c>
      <c r="C52" s="61" t="n">
        <v>0.479166666666667</v>
      </c>
      <c r="D52" s="64"/>
      <c r="E52" s="66"/>
      <c r="F52" s="67"/>
      <c r="G52" s="64"/>
      <c r="H52" s="66" t="n">
        <v>0.645833333333333</v>
      </c>
      <c r="I52" s="67" t="n">
        <v>0.666666666666667</v>
      </c>
      <c r="J52" s="64"/>
      <c r="K52" s="66" t="n">
        <v>0.614583333333333</v>
      </c>
      <c r="L52" s="67" t="n">
        <v>0.645833333333333</v>
      </c>
      <c r="M52" s="64"/>
      <c r="N52" s="66" t="n">
        <v>0.645833333333333</v>
      </c>
      <c r="O52" s="67" t="n">
        <v>0.666666666666667</v>
      </c>
      <c r="P52" s="61"/>
      <c r="Q52" s="144"/>
      <c r="R52" s="11"/>
    </row>
    <row r="53" customFormat="false" ht="14.25" hidden="false" customHeight="true" outlineLevel="0" collapsed="false">
      <c r="A53" s="68"/>
      <c r="B53" s="185" t="s">
        <v>15</v>
      </c>
      <c r="C53" s="185"/>
      <c r="D53" s="69"/>
      <c r="E53" s="200"/>
      <c r="F53" s="200"/>
      <c r="G53" s="201"/>
      <c r="H53" s="202"/>
      <c r="I53" s="202"/>
      <c r="J53" s="69"/>
      <c r="K53" s="185" t="s">
        <v>24</v>
      </c>
      <c r="L53" s="185"/>
      <c r="M53" s="69"/>
      <c r="N53" s="185" t="s">
        <v>9</v>
      </c>
      <c r="O53" s="185"/>
      <c r="P53" s="69"/>
      <c r="Q53" s="203"/>
      <c r="R53" s="11"/>
    </row>
    <row r="54" customFormat="false" ht="14.25" hidden="false" customHeight="true" outlineLevel="0" collapsed="false">
      <c r="A54" s="204" t="s">
        <v>19</v>
      </c>
      <c r="B54" s="73"/>
      <c r="C54" s="74"/>
      <c r="D54" s="73" t="n">
        <f aca="false">C54-B54+B55-C55</f>
        <v>0</v>
      </c>
      <c r="E54" s="205" t="s">
        <v>22</v>
      </c>
      <c r="F54" s="77"/>
      <c r="G54" s="75" t="n">
        <v>0.291666666666667</v>
      </c>
      <c r="H54" s="76"/>
      <c r="I54" s="77"/>
      <c r="J54" s="75" t="n">
        <f aca="false">I54-H54+H55-I55</f>
        <v>0</v>
      </c>
      <c r="K54" s="76"/>
      <c r="L54" s="77"/>
      <c r="M54" s="75" t="n">
        <f aca="false">L54-K54+K55-L55</f>
        <v>0</v>
      </c>
      <c r="N54" s="76"/>
      <c r="O54" s="77"/>
      <c r="P54" s="74" t="n">
        <f aca="false">O54-N54+N55-O55</f>
        <v>0</v>
      </c>
      <c r="Q54" s="164" t="n">
        <f aca="false">P54+M54+J54+G54+D54</f>
        <v>0.291666666666667</v>
      </c>
      <c r="R54" s="11"/>
    </row>
    <row r="55" customFormat="false" ht="14.25" hidden="false" customHeight="true" outlineLevel="0" collapsed="false">
      <c r="A55" s="204" t="s">
        <v>8</v>
      </c>
      <c r="B55" s="73"/>
      <c r="C55" s="74"/>
      <c r="D55" s="73"/>
      <c r="E55" s="79"/>
      <c r="F55" s="80"/>
      <c r="G55" s="75"/>
      <c r="H55" s="79"/>
      <c r="I55" s="80"/>
      <c r="J55" s="75"/>
      <c r="K55" s="79"/>
      <c r="L55" s="80"/>
      <c r="M55" s="75"/>
      <c r="N55" s="79"/>
      <c r="O55" s="80"/>
      <c r="P55" s="74"/>
      <c r="Q55" s="164"/>
      <c r="R55" s="11"/>
    </row>
    <row r="56" customFormat="false" ht="15.75" hidden="false" customHeight="true" outlineLevel="0" collapsed="false">
      <c r="A56" s="81"/>
      <c r="B56" s="82"/>
      <c r="C56" s="82"/>
      <c r="D56" s="82"/>
      <c r="E56" s="83"/>
      <c r="F56" s="83"/>
      <c r="G56" s="82"/>
      <c r="H56" s="85"/>
      <c r="I56" s="85"/>
      <c r="J56" s="82"/>
      <c r="K56" s="200"/>
      <c r="L56" s="200"/>
      <c r="M56" s="82"/>
      <c r="N56" s="85"/>
      <c r="O56" s="85"/>
      <c r="P56" s="82"/>
      <c r="Q56" s="86"/>
      <c r="R56" s="11"/>
    </row>
    <row r="57" customFormat="false" ht="14.25" hidden="false" customHeight="false" outlineLevel="0" collapsed="false">
      <c r="A57" s="87"/>
      <c r="B57" s="87"/>
      <c r="C57" s="87"/>
      <c r="D57" s="87"/>
      <c r="E57" s="88"/>
      <c r="F57" s="88"/>
      <c r="G57" s="87"/>
      <c r="H57" s="87"/>
      <c r="I57" s="87"/>
      <c r="J57" s="87"/>
      <c r="K57" s="173" t="s">
        <v>20</v>
      </c>
      <c r="L57" s="173"/>
      <c r="M57" s="87"/>
      <c r="N57" s="87"/>
      <c r="O57" s="87"/>
      <c r="P57" s="87"/>
      <c r="Q57" s="87"/>
    </row>
    <row r="58" customFormat="false" ht="14.25" hidden="false" customHeight="false" outlineLevel="0" collapsed="false">
      <c r="A58" s="87"/>
      <c r="B58" s="87"/>
      <c r="C58" s="87"/>
      <c r="D58" s="87"/>
      <c r="E58" s="88"/>
      <c r="F58" s="88"/>
      <c r="G58" s="87"/>
      <c r="H58" s="87"/>
      <c r="I58" s="87"/>
      <c r="J58" s="87"/>
      <c r="K58" s="173"/>
      <c r="L58" s="173"/>
      <c r="M58" s="87"/>
      <c r="N58" s="87"/>
      <c r="O58" s="87"/>
      <c r="P58" s="87"/>
      <c r="Q58" s="87"/>
    </row>
    <row r="59" customFormat="false" ht="14.2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customFormat="false" ht="14.25" hidden="false" customHeight="false" outlineLevel="0" collapsed="false">
      <c r="A60" s="7"/>
      <c r="B60" s="8"/>
      <c r="C60" s="8"/>
      <c r="D60" s="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</row>
    <row r="61" customFormat="false" ht="14.25" hidden="false" customHeight="false" outlineLevel="0" collapsed="false">
      <c r="A61" s="12"/>
      <c r="B61" s="13"/>
      <c r="C61" s="14"/>
      <c r="D61" s="13"/>
      <c r="E61" s="13"/>
      <c r="F61" s="14"/>
      <c r="G61" s="13"/>
      <c r="H61" s="15"/>
      <c r="I61" s="16"/>
      <c r="J61" s="13"/>
      <c r="K61" s="13"/>
      <c r="L61" s="14"/>
      <c r="M61" s="13"/>
      <c r="N61" s="13"/>
      <c r="O61" s="14"/>
      <c r="P61" s="13"/>
      <c r="Q61" s="19"/>
    </row>
    <row r="62" customFormat="false" ht="14.25" hidden="false" customHeight="false" outlineLevel="0" collapsed="false">
      <c r="A62" s="12"/>
      <c r="B62" s="13"/>
      <c r="C62" s="14"/>
      <c r="D62" s="13"/>
      <c r="E62" s="20"/>
      <c r="F62" s="21"/>
      <c r="G62" s="13"/>
      <c r="H62" s="13"/>
      <c r="I62" s="14"/>
      <c r="J62" s="13"/>
      <c r="K62" s="20"/>
      <c r="L62" s="21"/>
      <c r="M62" s="13"/>
      <c r="N62" s="20"/>
      <c r="O62" s="21"/>
      <c r="P62" s="13"/>
      <c r="Q62" s="19"/>
    </row>
    <row r="63" customFormat="false" ht="14.25" hidden="false" customHeight="false" outlineLevel="0" collapsed="false">
      <c r="A63" s="24"/>
      <c r="B63" s="25"/>
      <c r="C63" s="25"/>
      <c r="D63" s="26"/>
      <c r="E63" s="29"/>
      <c r="F63" s="29"/>
      <c r="G63" s="28"/>
      <c r="H63" s="27"/>
      <c r="I63" s="27"/>
      <c r="J63" s="28"/>
      <c r="K63" s="25"/>
      <c r="L63" s="25"/>
      <c r="M63" s="30"/>
      <c r="N63" s="25"/>
      <c r="O63" s="25"/>
      <c r="P63" s="28"/>
      <c r="Q63" s="186"/>
    </row>
    <row r="64" customFormat="false" ht="14.25" hidden="false" customHeight="false" outlineLevel="0" collapsed="false">
      <c r="A64" s="33"/>
      <c r="B64" s="34"/>
      <c r="C64" s="35"/>
      <c r="D64" s="36"/>
      <c r="E64" s="34"/>
      <c r="F64" s="35"/>
      <c r="G64" s="37"/>
      <c r="H64" s="34"/>
      <c r="I64" s="35"/>
      <c r="J64" s="37"/>
      <c r="K64" s="34"/>
      <c r="L64" s="35"/>
      <c r="M64" s="37"/>
      <c r="N64" s="34"/>
      <c r="O64" s="35"/>
      <c r="P64" s="38"/>
      <c r="Q64" s="39"/>
    </row>
    <row r="65" customFormat="false" ht="14.25" hidden="false" customHeight="false" outlineLevel="0" collapsed="false">
      <c r="A65" s="33"/>
      <c r="B65" s="34"/>
      <c r="C65" s="35"/>
      <c r="D65" s="36"/>
      <c r="E65" s="40"/>
      <c r="F65" s="41"/>
      <c r="G65" s="37"/>
      <c r="H65" s="40"/>
      <c r="I65" s="41"/>
      <c r="J65" s="37"/>
      <c r="K65" s="40"/>
      <c r="L65" s="41"/>
      <c r="M65" s="37"/>
      <c r="N65" s="40"/>
      <c r="O65" s="41"/>
      <c r="P65" s="38"/>
      <c r="Q65" s="39"/>
    </row>
    <row r="66" customFormat="false" ht="14.25" hidden="false" customHeight="false" outlineLevel="0" collapsed="false">
      <c r="A66" s="42"/>
      <c r="B66" s="43"/>
      <c r="C66" s="43"/>
      <c r="D66" s="43"/>
      <c r="E66" s="27"/>
      <c r="F66" s="27"/>
      <c r="G66" s="44"/>
      <c r="H66" s="27"/>
      <c r="I66" s="27"/>
      <c r="J66" s="45"/>
      <c r="K66" s="25"/>
      <c r="L66" s="25"/>
      <c r="M66" s="45"/>
      <c r="N66" s="29"/>
      <c r="O66" s="29"/>
      <c r="P66" s="43"/>
      <c r="Q66" s="186"/>
    </row>
    <row r="67" customFormat="false" ht="14.25" hidden="false" customHeight="false" outlineLevel="0" collapsed="false">
      <c r="A67" s="48"/>
      <c r="B67" s="49"/>
      <c r="C67" s="50"/>
      <c r="D67" s="49"/>
      <c r="E67" s="51"/>
      <c r="F67" s="52"/>
      <c r="G67" s="53"/>
      <c r="H67" s="51"/>
      <c r="I67" s="52"/>
      <c r="J67" s="53"/>
      <c r="K67" s="51"/>
      <c r="L67" s="52"/>
      <c r="M67" s="53"/>
      <c r="N67" s="51"/>
      <c r="O67" s="52"/>
      <c r="P67" s="50"/>
      <c r="Q67" s="54"/>
    </row>
    <row r="68" customFormat="false" ht="14.25" hidden="false" customHeight="false" outlineLevel="0" collapsed="false">
      <c r="A68" s="48"/>
      <c r="B68" s="49"/>
      <c r="C68" s="50"/>
      <c r="D68" s="49"/>
      <c r="E68" s="55"/>
      <c r="F68" s="56"/>
      <c r="G68" s="53"/>
      <c r="H68" s="55"/>
      <c r="I68" s="56"/>
      <c r="J68" s="53"/>
      <c r="K68" s="55"/>
      <c r="L68" s="56"/>
      <c r="M68" s="53"/>
      <c r="N68" s="55"/>
      <c r="O68" s="56"/>
      <c r="P68" s="50"/>
      <c r="Q68" s="54"/>
    </row>
    <row r="69" customFormat="false" ht="14.25" hidden="false" customHeight="false" outlineLevel="0" collapsed="false">
      <c r="A69" s="24"/>
      <c r="B69" s="206"/>
      <c r="C69" s="206"/>
      <c r="D69" s="28"/>
      <c r="E69" s="25"/>
      <c r="F69" s="25"/>
      <c r="G69" s="57"/>
      <c r="H69" s="29"/>
      <c r="I69" s="29"/>
      <c r="J69" s="57"/>
      <c r="K69" s="101"/>
      <c r="L69" s="101"/>
      <c r="M69" s="58"/>
      <c r="N69" s="202"/>
      <c r="O69" s="202"/>
      <c r="P69" s="57"/>
      <c r="Q69" s="186"/>
    </row>
    <row r="70" customFormat="false" ht="14.25" hidden="false" customHeight="false" outlineLevel="0" collapsed="false">
      <c r="A70" s="59"/>
      <c r="B70" s="60"/>
      <c r="C70" s="61"/>
      <c r="D70" s="60"/>
      <c r="E70" s="62"/>
      <c r="F70" s="63"/>
      <c r="G70" s="64"/>
      <c r="H70" s="62"/>
      <c r="I70" s="63"/>
      <c r="J70" s="64"/>
      <c r="K70" s="62"/>
      <c r="L70" s="63"/>
      <c r="M70" s="64"/>
      <c r="N70" s="62"/>
      <c r="O70" s="63"/>
      <c r="P70" s="61"/>
      <c r="Q70" s="65"/>
    </row>
    <row r="71" customFormat="false" ht="14.25" hidden="false" customHeight="false" outlineLevel="0" collapsed="false">
      <c r="A71" s="59"/>
      <c r="B71" s="60"/>
      <c r="C71" s="61"/>
      <c r="D71" s="60"/>
      <c r="E71" s="66"/>
      <c r="F71" s="67"/>
      <c r="G71" s="64"/>
      <c r="H71" s="66"/>
      <c r="I71" s="67"/>
      <c r="J71" s="64"/>
      <c r="K71" s="66"/>
      <c r="L71" s="67"/>
      <c r="M71" s="64"/>
      <c r="N71" s="66"/>
      <c r="O71" s="67"/>
      <c r="P71" s="61"/>
      <c r="Q71" s="65"/>
    </row>
    <row r="72" customFormat="false" ht="14.25" hidden="false" customHeight="false" outlineLevel="0" collapsed="false">
      <c r="A72" s="68"/>
      <c r="B72" s="206"/>
      <c r="C72" s="206"/>
      <c r="D72" s="69"/>
      <c r="E72" s="70"/>
      <c r="F72" s="70"/>
      <c r="G72" s="70"/>
      <c r="H72" s="101"/>
      <c r="I72" s="101"/>
      <c r="J72" s="69"/>
      <c r="K72" s="29"/>
      <c r="L72" s="29"/>
      <c r="M72" s="69"/>
      <c r="N72" s="25"/>
      <c r="O72" s="25"/>
      <c r="P72" s="69"/>
      <c r="Q72" s="203"/>
    </row>
    <row r="73" customFormat="false" ht="14.25" hidden="false" customHeight="false" outlineLevel="0" collapsed="false">
      <c r="A73" s="72"/>
      <c r="B73" s="73"/>
      <c r="C73" s="74"/>
      <c r="D73" s="73"/>
      <c r="E73" s="76"/>
      <c r="F73" s="77"/>
      <c r="G73" s="75"/>
      <c r="H73" s="76"/>
      <c r="I73" s="77"/>
      <c r="J73" s="75"/>
      <c r="K73" s="76"/>
      <c r="L73" s="77"/>
      <c r="M73" s="75"/>
      <c r="N73" s="76"/>
      <c r="O73" s="77"/>
      <c r="P73" s="74"/>
      <c r="Q73" s="207"/>
    </row>
    <row r="74" customFormat="false" ht="14.25" hidden="false" customHeight="false" outlineLevel="0" collapsed="false">
      <c r="A74" s="72"/>
      <c r="B74" s="73"/>
      <c r="C74" s="74"/>
      <c r="D74" s="73"/>
      <c r="E74" s="79"/>
      <c r="F74" s="80"/>
      <c r="G74" s="75"/>
      <c r="H74" s="79"/>
      <c r="I74" s="80"/>
      <c r="J74" s="75"/>
      <c r="K74" s="79"/>
      <c r="L74" s="80"/>
      <c r="M74" s="75"/>
      <c r="N74" s="79"/>
      <c r="O74" s="80"/>
      <c r="P74" s="74"/>
      <c r="Q74" s="207"/>
    </row>
    <row r="75" customFormat="false" ht="14.25" hidden="false" customHeight="false" outlineLevel="0" collapsed="false">
      <c r="A75" s="81"/>
      <c r="B75" s="83"/>
      <c r="C75" s="83"/>
      <c r="D75" s="82"/>
      <c r="E75" s="83"/>
      <c r="F75" s="83"/>
      <c r="G75" s="82"/>
      <c r="H75" s="85"/>
      <c r="I75" s="85"/>
      <c r="J75" s="82"/>
      <c r="K75" s="85"/>
      <c r="L75" s="85"/>
      <c r="M75" s="82"/>
      <c r="N75" s="85"/>
      <c r="O75" s="85"/>
      <c r="P75" s="82"/>
      <c r="Q75" s="86"/>
    </row>
    <row r="76" customFormat="false" ht="14.25" hidden="false" customHeight="false" outlineLevel="0" collapsed="false">
      <c r="B76" s="208"/>
      <c r="C76" s="208"/>
      <c r="E76" s="208"/>
      <c r="F76" s="208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"/>
    </row>
    <row r="81" customFormat="false" ht="15.75" hidden="false" customHeight="true" outlineLevel="0" collapsed="false">
      <c r="A81" s="7"/>
      <c r="B81" s="8"/>
      <c r="C81" s="8"/>
      <c r="D81" s="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/>
      <c r="R81" s="11"/>
    </row>
    <row r="82" customFormat="false" ht="14.25" hidden="false" customHeight="true" outlineLevel="0" collapsed="false">
      <c r="A82" s="12"/>
      <c r="B82" s="13"/>
      <c r="C82" s="14"/>
      <c r="D82" s="13"/>
      <c r="E82" s="13"/>
      <c r="F82" s="14"/>
      <c r="G82" s="13"/>
      <c r="H82" s="15"/>
      <c r="I82" s="16"/>
      <c r="J82" s="13"/>
      <c r="K82" s="13"/>
      <c r="L82" s="14"/>
      <c r="M82" s="13"/>
      <c r="N82" s="13"/>
      <c r="O82" s="14"/>
      <c r="P82" s="13"/>
      <c r="Q82" s="209"/>
      <c r="R82" s="11"/>
    </row>
    <row r="83" customFormat="false" ht="14.25" hidden="false" customHeight="true" outlineLevel="0" collapsed="false">
      <c r="A83" s="12"/>
      <c r="B83" s="13"/>
      <c r="C83" s="14"/>
      <c r="D83" s="13"/>
      <c r="E83" s="20"/>
      <c r="F83" s="21"/>
      <c r="G83" s="13"/>
      <c r="H83" s="13"/>
      <c r="I83" s="14"/>
      <c r="J83" s="13"/>
      <c r="K83" s="20"/>
      <c r="L83" s="21"/>
      <c r="M83" s="13"/>
      <c r="N83" s="20"/>
      <c r="O83" s="21"/>
      <c r="P83" s="13"/>
      <c r="Q83" s="209"/>
      <c r="R83" s="11"/>
    </row>
    <row r="84" customFormat="false" ht="14.25" hidden="false" customHeight="true" outlineLevel="0" collapsed="false">
      <c r="A84" s="24"/>
      <c r="B84" s="25"/>
      <c r="C84" s="25"/>
      <c r="D84" s="26"/>
      <c r="E84" s="27"/>
      <c r="F84" s="27"/>
      <c r="G84" s="28"/>
      <c r="H84" s="27"/>
      <c r="I84" s="27"/>
      <c r="J84" s="28"/>
      <c r="K84" s="29"/>
      <c r="L84" s="29"/>
      <c r="M84" s="30"/>
      <c r="N84" s="25"/>
      <c r="O84" s="25"/>
      <c r="P84" s="28"/>
      <c r="Q84" s="186"/>
      <c r="R84" s="11"/>
    </row>
    <row r="85" customFormat="false" ht="13.5" hidden="false" customHeight="true" outlineLevel="0" collapsed="false">
      <c r="A85" s="33"/>
      <c r="B85" s="34"/>
      <c r="C85" s="35"/>
      <c r="D85" s="36"/>
      <c r="E85" s="34"/>
      <c r="F85" s="35"/>
      <c r="G85" s="37"/>
      <c r="H85" s="34"/>
      <c r="I85" s="35"/>
      <c r="J85" s="37"/>
      <c r="K85" s="34"/>
      <c r="L85" s="35"/>
      <c r="M85" s="37"/>
      <c r="N85" s="34"/>
      <c r="O85" s="35"/>
      <c r="P85" s="38"/>
      <c r="Q85" s="210"/>
      <c r="R85" s="11"/>
    </row>
    <row r="86" customFormat="false" ht="13.5" hidden="false" customHeight="true" outlineLevel="0" collapsed="false">
      <c r="A86" s="33"/>
      <c r="B86" s="34"/>
      <c r="C86" s="35"/>
      <c r="D86" s="36"/>
      <c r="E86" s="40"/>
      <c r="F86" s="41"/>
      <c r="G86" s="37"/>
      <c r="H86" s="40"/>
      <c r="I86" s="41"/>
      <c r="J86" s="37"/>
      <c r="K86" s="40"/>
      <c r="L86" s="41"/>
      <c r="M86" s="37"/>
      <c r="N86" s="40"/>
      <c r="O86" s="41"/>
      <c r="P86" s="38"/>
      <c r="Q86" s="210"/>
      <c r="R86" s="11"/>
    </row>
    <row r="87" s="47" customFormat="true" ht="13.5" hidden="false" customHeight="true" outlineLevel="0" collapsed="false">
      <c r="A87" s="42"/>
      <c r="B87" s="43"/>
      <c r="C87" s="43"/>
      <c r="D87" s="43"/>
      <c r="E87" s="101"/>
      <c r="F87" s="101"/>
      <c r="G87" s="44"/>
      <c r="H87" s="27"/>
      <c r="I87" s="27"/>
      <c r="J87" s="45"/>
      <c r="K87" s="25"/>
      <c r="L87" s="25"/>
      <c r="M87" s="45"/>
      <c r="N87" s="25"/>
      <c r="O87" s="25"/>
      <c r="P87" s="43"/>
      <c r="Q87" s="186"/>
      <c r="R87" s="46"/>
    </row>
    <row r="88" customFormat="false" ht="14.25" hidden="false" customHeight="true" outlineLevel="0" collapsed="false">
      <c r="A88" s="48"/>
      <c r="B88" s="49"/>
      <c r="C88" s="50"/>
      <c r="D88" s="49"/>
      <c r="E88" s="51"/>
      <c r="F88" s="52"/>
      <c r="G88" s="53"/>
      <c r="H88" s="51"/>
      <c r="I88" s="52"/>
      <c r="J88" s="53"/>
      <c r="K88" s="51"/>
      <c r="L88" s="52"/>
      <c r="M88" s="53"/>
      <c r="N88" s="51"/>
      <c r="O88" s="52"/>
      <c r="P88" s="50"/>
      <c r="Q88" s="211"/>
      <c r="R88" s="11"/>
    </row>
    <row r="89" customFormat="false" ht="14.25" hidden="false" customHeight="true" outlineLevel="0" collapsed="false">
      <c r="A89" s="48"/>
      <c r="B89" s="49"/>
      <c r="C89" s="50"/>
      <c r="D89" s="49"/>
      <c r="E89" s="55"/>
      <c r="F89" s="56"/>
      <c r="G89" s="53"/>
      <c r="H89" s="55"/>
      <c r="I89" s="56"/>
      <c r="J89" s="53"/>
      <c r="K89" s="55"/>
      <c r="L89" s="56"/>
      <c r="M89" s="53"/>
      <c r="N89" s="55"/>
      <c r="O89" s="56"/>
      <c r="P89" s="50"/>
      <c r="Q89" s="211"/>
      <c r="R89" s="11"/>
    </row>
    <row r="90" customFormat="false" ht="14.25" hidden="false" customHeight="true" outlineLevel="0" collapsed="false">
      <c r="A90" s="24"/>
      <c r="B90" s="212"/>
      <c r="C90" s="212"/>
      <c r="D90" s="28"/>
      <c r="E90" s="25"/>
      <c r="F90" s="25"/>
      <c r="G90" s="57"/>
      <c r="H90" s="212"/>
      <c r="I90" s="212"/>
      <c r="J90" s="57"/>
      <c r="K90" s="29"/>
      <c r="L90" s="29"/>
      <c r="M90" s="58"/>
      <c r="N90" s="101"/>
      <c r="O90" s="101"/>
      <c r="P90" s="57"/>
      <c r="Q90" s="186"/>
      <c r="R90" s="11"/>
    </row>
    <row r="91" customFormat="false" ht="14.25" hidden="false" customHeight="true" outlineLevel="0" collapsed="false">
      <c r="A91" s="59"/>
      <c r="B91" s="60"/>
      <c r="C91" s="61"/>
      <c r="D91" s="60"/>
      <c r="E91" s="62"/>
      <c r="F91" s="63"/>
      <c r="G91" s="64"/>
      <c r="H91" s="62"/>
      <c r="I91" s="63"/>
      <c r="J91" s="64"/>
      <c r="K91" s="62"/>
      <c r="L91" s="63"/>
      <c r="M91" s="64"/>
      <c r="N91" s="62"/>
      <c r="O91" s="63"/>
      <c r="P91" s="61"/>
      <c r="Q91" s="213"/>
      <c r="R91" s="11"/>
    </row>
    <row r="92" customFormat="false" ht="14.25" hidden="false" customHeight="true" outlineLevel="0" collapsed="false">
      <c r="A92" s="59"/>
      <c r="B92" s="60"/>
      <c r="C92" s="61"/>
      <c r="D92" s="60"/>
      <c r="E92" s="66"/>
      <c r="F92" s="67"/>
      <c r="G92" s="64"/>
      <c r="H92" s="66"/>
      <c r="I92" s="67"/>
      <c r="J92" s="64"/>
      <c r="K92" s="66"/>
      <c r="L92" s="67"/>
      <c r="M92" s="64"/>
      <c r="N92" s="66"/>
      <c r="O92" s="67"/>
      <c r="P92" s="61"/>
      <c r="Q92" s="213"/>
      <c r="R92" s="11"/>
    </row>
    <row r="93" customFormat="false" ht="14.25" hidden="false" customHeight="true" outlineLevel="0" collapsed="false">
      <c r="A93" s="68"/>
      <c r="B93" s="212"/>
      <c r="C93" s="212"/>
      <c r="D93" s="69"/>
      <c r="E93" s="70"/>
      <c r="F93" s="70"/>
      <c r="G93" s="70"/>
      <c r="H93" s="212"/>
      <c r="I93" s="212"/>
      <c r="J93" s="69"/>
      <c r="K93" s="25"/>
      <c r="L93" s="25"/>
      <c r="M93" s="69"/>
      <c r="N93" s="29"/>
      <c r="O93" s="29"/>
      <c r="P93" s="69"/>
      <c r="Q93" s="203"/>
      <c r="R93" s="11"/>
    </row>
    <row r="94" customFormat="false" ht="14.25" hidden="false" customHeight="true" outlineLevel="0" collapsed="false">
      <c r="A94" s="72"/>
      <c r="B94" s="73"/>
      <c r="C94" s="74"/>
      <c r="D94" s="73"/>
      <c r="E94" s="76"/>
      <c r="F94" s="77"/>
      <c r="G94" s="75"/>
      <c r="H94" s="76"/>
      <c r="I94" s="77"/>
      <c r="J94" s="75"/>
      <c r="K94" s="76"/>
      <c r="L94" s="77"/>
      <c r="M94" s="75"/>
      <c r="N94" s="76"/>
      <c r="O94" s="77"/>
      <c r="P94" s="74"/>
      <c r="Q94" s="207"/>
      <c r="R94" s="11"/>
    </row>
    <row r="95" customFormat="false" ht="14.25" hidden="false" customHeight="true" outlineLevel="0" collapsed="false">
      <c r="A95" s="72"/>
      <c r="B95" s="73"/>
      <c r="C95" s="74"/>
      <c r="D95" s="73"/>
      <c r="E95" s="79"/>
      <c r="F95" s="80"/>
      <c r="G95" s="75"/>
      <c r="H95" s="79"/>
      <c r="I95" s="80"/>
      <c r="J95" s="75"/>
      <c r="K95" s="79"/>
      <c r="L95" s="80"/>
      <c r="M95" s="75"/>
      <c r="N95" s="79"/>
      <c r="O95" s="80"/>
      <c r="P95" s="74"/>
      <c r="Q95" s="207"/>
      <c r="R95" s="11"/>
    </row>
    <row r="96" customFormat="false" ht="15.75" hidden="false" customHeight="true" outlineLevel="0" collapsed="false">
      <c r="A96" s="81"/>
      <c r="B96" s="214"/>
      <c r="C96" s="214"/>
      <c r="D96" s="82"/>
      <c r="E96" s="83"/>
      <c r="F96" s="83"/>
      <c r="G96" s="82"/>
      <c r="H96" s="85"/>
      <c r="I96" s="85"/>
      <c r="J96" s="82"/>
      <c r="K96" s="85"/>
      <c r="L96" s="85"/>
      <c r="M96" s="82"/>
      <c r="N96" s="85"/>
      <c r="O96" s="85"/>
      <c r="P96" s="82"/>
      <c r="Q96" s="86"/>
      <c r="R96" s="11"/>
    </row>
    <row r="97" customFormat="false" ht="14.25" hidden="false" customHeight="true" outlineLevel="0" collapsed="false">
      <c r="B97" s="208"/>
      <c r="C97" s="208"/>
      <c r="H97" s="208"/>
      <c r="I97" s="208"/>
      <c r="J97" s="208"/>
    </row>
    <row r="98" customFormat="false" ht="14.25" hidden="false" customHeight="false" outlineLevel="0" collapsed="false">
      <c r="B98" s="88"/>
      <c r="C98" s="88"/>
      <c r="H98" s="88"/>
      <c r="I98" s="88"/>
    </row>
  </sheetData>
  <mergeCells count="303">
    <mergeCell ref="A1:Q1"/>
    <mergeCell ref="A3:Q3"/>
    <mergeCell ref="B4:D4"/>
    <mergeCell ref="E4:G4"/>
    <mergeCell ref="H4:J4"/>
    <mergeCell ref="K4:M4"/>
    <mergeCell ref="N4:P4"/>
    <mergeCell ref="D5:D6"/>
    <mergeCell ref="G5:G6"/>
    <mergeCell ref="J5:J6"/>
    <mergeCell ref="M5:M6"/>
    <mergeCell ref="P5:P6"/>
    <mergeCell ref="Q5:Q6"/>
    <mergeCell ref="B7:C7"/>
    <mergeCell ref="E7:F7"/>
    <mergeCell ref="H7:I7"/>
    <mergeCell ref="K7:L7"/>
    <mergeCell ref="N7:O7"/>
    <mergeCell ref="D8:D9"/>
    <mergeCell ref="G8:G9"/>
    <mergeCell ref="J8:J9"/>
    <mergeCell ref="M8:M9"/>
    <mergeCell ref="P8:P9"/>
    <mergeCell ref="Q8:Q9"/>
    <mergeCell ref="E10:F10"/>
    <mergeCell ref="H10:I10"/>
    <mergeCell ref="K10:L10"/>
    <mergeCell ref="N10:O10"/>
    <mergeCell ref="D11:D12"/>
    <mergeCell ref="G11:G12"/>
    <mergeCell ref="J11:J12"/>
    <mergeCell ref="M11:M12"/>
    <mergeCell ref="P11:P12"/>
    <mergeCell ref="Q11:Q12"/>
    <mergeCell ref="B13:C13"/>
    <mergeCell ref="E13:F13"/>
    <mergeCell ref="H13:I13"/>
    <mergeCell ref="K13:L13"/>
    <mergeCell ref="N13:O13"/>
    <mergeCell ref="D14:D15"/>
    <mergeCell ref="G14:G15"/>
    <mergeCell ref="J14:J15"/>
    <mergeCell ref="M14:M15"/>
    <mergeCell ref="P14:P15"/>
    <mergeCell ref="Q14:Q15"/>
    <mergeCell ref="B16:C16"/>
    <mergeCell ref="E16:G16"/>
    <mergeCell ref="H16:I16"/>
    <mergeCell ref="K16:L16"/>
    <mergeCell ref="N16:O16"/>
    <mergeCell ref="D17:D18"/>
    <mergeCell ref="G17:G18"/>
    <mergeCell ref="J17:J18"/>
    <mergeCell ref="M17:M18"/>
    <mergeCell ref="P17:P18"/>
    <mergeCell ref="Q17:Q18"/>
    <mergeCell ref="E19:F19"/>
    <mergeCell ref="H19:I19"/>
    <mergeCell ref="E20:F20"/>
    <mergeCell ref="A21:Q21"/>
    <mergeCell ref="B22:D22"/>
    <mergeCell ref="E22:G22"/>
    <mergeCell ref="H22:J22"/>
    <mergeCell ref="K22:M22"/>
    <mergeCell ref="N22:P22"/>
    <mergeCell ref="D23:D24"/>
    <mergeCell ref="G23:G24"/>
    <mergeCell ref="J23:J24"/>
    <mergeCell ref="M23:M24"/>
    <mergeCell ref="P23:P24"/>
    <mergeCell ref="Q23:Q24"/>
    <mergeCell ref="B25:C25"/>
    <mergeCell ref="E25:F25"/>
    <mergeCell ref="H25:I25"/>
    <mergeCell ref="K25:L25"/>
    <mergeCell ref="N25:O25"/>
    <mergeCell ref="D26:D27"/>
    <mergeCell ref="G26:G27"/>
    <mergeCell ref="J26:J27"/>
    <mergeCell ref="M26:M27"/>
    <mergeCell ref="P26:P27"/>
    <mergeCell ref="Q26:Q27"/>
    <mergeCell ref="B28:C28"/>
    <mergeCell ref="E28:F28"/>
    <mergeCell ref="H28:I28"/>
    <mergeCell ref="K28:L28"/>
    <mergeCell ref="N28:O28"/>
    <mergeCell ref="D29:D30"/>
    <mergeCell ref="G29:G30"/>
    <mergeCell ref="J29:J30"/>
    <mergeCell ref="M29:M30"/>
    <mergeCell ref="P29:P30"/>
    <mergeCell ref="Q29:Q30"/>
    <mergeCell ref="B31:C31"/>
    <mergeCell ref="E31:F31"/>
    <mergeCell ref="H31:I31"/>
    <mergeCell ref="K31:L31"/>
    <mergeCell ref="N31:O31"/>
    <mergeCell ref="P31:Q31"/>
    <mergeCell ref="D32:D33"/>
    <mergeCell ref="G32:G33"/>
    <mergeCell ref="J32:J33"/>
    <mergeCell ref="M32:M33"/>
    <mergeCell ref="P32:P33"/>
    <mergeCell ref="Q32:Q33"/>
    <mergeCell ref="B34:C34"/>
    <mergeCell ref="E34:F34"/>
    <mergeCell ref="H34:I34"/>
    <mergeCell ref="K34:L34"/>
    <mergeCell ref="N34:P34"/>
    <mergeCell ref="D35:D36"/>
    <mergeCell ref="G35:G36"/>
    <mergeCell ref="J35:J36"/>
    <mergeCell ref="M35:M36"/>
    <mergeCell ref="P35:P36"/>
    <mergeCell ref="Q35:Q36"/>
    <mergeCell ref="B37:C37"/>
    <mergeCell ref="E37:F37"/>
    <mergeCell ref="H37:I37"/>
    <mergeCell ref="K37:L37"/>
    <mergeCell ref="N37:O37"/>
    <mergeCell ref="E38:F38"/>
    <mergeCell ref="H38:I38"/>
    <mergeCell ref="K38:L38"/>
    <mergeCell ref="A40:Q40"/>
    <mergeCell ref="B41:D41"/>
    <mergeCell ref="E41:G41"/>
    <mergeCell ref="H41:J41"/>
    <mergeCell ref="K41:M41"/>
    <mergeCell ref="N41:P41"/>
    <mergeCell ref="D42:D43"/>
    <mergeCell ref="G42:G43"/>
    <mergeCell ref="J42:J43"/>
    <mergeCell ref="M42:M43"/>
    <mergeCell ref="P42:P43"/>
    <mergeCell ref="Q42:Q43"/>
    <mergeCell ref="B44:C44"/>
    <mergeCell ref="E44:F44"/>
    <mergeCell ref="H44:I44"/>
    <mergeCell ref="K44:L44"/>
    <mergeCell ref="N44:O44"/>
    <mergeCell ref="D45:D46"/>
    <mergeCell ref="G45:G46"/>
    <mergeCell ref="J45:J46"/>
    <mergeCell ref="M45:M46"/>
    <mergeCell ref="P45:P46"/>
    <mergeCell ref="Q45:Q46"/>
    <mergeCell ref="B47:C47"/>
    <mergeCell ref="E47:F47"/>
    <mergeCell ref="H47:I47"/>
    <mergeCell ref="K47:L47"/>
    <mergeCell ref="N47:O47"/>
    <mergeCell ref="D48:D49"/>
    <mergeCell ref="G48:G49"/>
    <mergeCell ref="J48:J49"/>
    <mergeCell ref="M48:M49"/>
    <mergeCell ref="P48:P49"/>
    <mergeCell ref="Q48:Q49"/>
    <mergeCell ref="B50:C50"/>
    <mergeCell ref="E50:F50"/>
    <mergeCell ref="H50:I50"/>
    <mergeCell ref="K50:L50"/>
    <mergeCell ref="N50:O50"/>
    <mergeCell ref="D51:D52"/>
    <mergeCell ref="G51:G52"/>
    <mergeCell ref="J51:J52"/>
    <mergeCell ref="M51:M52"/>
    <mergeCell ref="P51:P52"/>
    <mergeCell ref="Q51:Q52"/>
    <mergeCell ref="B53:C53"/>
    <mergeCell ref="E53:F53"/>
    <mergeCell ref="H53:I53"/>
    <mergeCell ref="K53:L53"/>
    <mergeCell ref="N53:O53"/>
    <mergeCell ref="D54:D55"/>
    <mergeCell ref="G54:G55"/>
    <mergeCell ref="J54:J55"/>
    <mergeCell ref="M54:M55"/>
    <mergeCell ref="P54:P55"/>
    <mergeCell ref="Q54:Q55"/>
    <mergeCell ref="E56:F56"/>
    <mergeCell ref="K56:L56"/>
    <mergeCell ref="E57:F57"/>
    <mergeCell ref="K57:L57"/>
    <mergeCell ref="A59:Q59"/>
    <mergeCell ref="B60:D60"/>
    <mergeCell ref="E60:G60"/>
    <mergeCell ref="H60:J60"/>
    <mergeCell ref="K60:M60"/>
    <mergeCell ref="N60:P60"/>
    <mergeCell ref="D61:D62"/>
    <mergeCell ref="G61:G62"/>
    <mergeCell ref="J61:J62"/>
    <mergeCell ref="M61:M62"/>
    <mergeCell ref="P61:P62"/>
    <mergeCell ref="Q61:Q62"/>
    <mergeCell ref="B63:C63"/>
    <mergeCell ref="E63:F63"/>
    <mergeCell ref="H63:I63"/>
    <mergeCell ref="K63:L63"/>
    <mergeCell ref="N63:O63"/>
    <mergeCell ref="D64:D65"/>
    <mergeCell ref="G64:G65"/>
    <mergeCell ref="J64:J65"/>
    <mergeCell ref="M64:M65"/>
    <mergeCell ref="P64:P65"/>
    <mergeCell ref="Q64:Q65"/>
    <mergeCell ref="E66:F66"/>
    <mergeCell ref="H66:I66"/>
    <mergeCell ref="K66:L66"/>
    <mergeCell ref="N66:O66"/>
    <mergeCell ref="D67:D68"/>
    <mergeCell ref="G67:G68"/>
    <mergeCell ref="J67:J68"/>
    <mergeCell ref="M67:M68"/>
    <mergeCell ref="P67:P68"/>
    <mergeCell ref="Q67:Q68"/>
    <mergeCell ref="B69:C69"/>
    <mergeCell ref="E69:F69"/>
    <mergeCell ref="H69:I69"/>
    <mergeCell ref="K69:L69"/>
    <mergeCell ref="N69:O69"/>
    <mergeCell ref="D70:D71"/>
    <mergeCell ref="G70:G71"/>
    <mergeCell ref="J70:J71"/>
    <mergeCell ref="M70:M71"/>
    <mergeCell ref="P70:P71"/>
    <mergeCell ref="Q70:Q71"/>
    <mergeCell ref="B72:C72"/>
    <mergeCell ref="E72:G72"/>
    <mergeCell ref="H72:I72"/>
    <mergeCell ref="K72:L72"/>
    <mergeCell ref="N72:O72"/>
    <mergeCell ref="D73:D74"/>
    <mergeCell ref="G73:G74"/>
    <mergeCell ref="J73:J74"/>
    <mergeCell ref="M73:M74"/>
    <mergeCell ref="P73:P74"/>
    <mergeCell ref="Q73:Q74"/>
    <mergeCell ref="B75:C75"/>
    <mergeCell ref="E75:F75"/>
    <mergeCell ref="B76:C76"/>
    <mergeCell ref="E76:F76"/>
    <mergeCell ref="A80:Q80"/>
    <mergeCell ref="B81:D81"/>
    <mergeCell ref="E81:G81"/>
    <mergeCell ref="H81:J81"/>
    <mergeCell ref="K81:M81"/>
    <mergeCell ref="N81:P81"/>
    <mergeCell ref="D82:D83"/>
    <mergeCell ref="G82:G83"/>
    <mergeCell ref="J82:J83"/>
    <mergeCell ref="M82:M83"/>
    <mergeCell ref="P82:P83"/>
    <mergeCell ref="Q82:Q83"/>
    <mergeCell ref="B84:C84"/>
    <mergeCell ref="E84:F84"/>
    <mergeCell ref="H84:I84"/>
    <mergeCell ref="K84:L84"/>
    <mergeCell ref="N84:O84"/>
    <mergeCell ref="D85:D86"/>
    <mergeCell ref="G85:G86"/>
    <mergeCell ref="J85:J86"/>
    <mergeCell ref="M85:M86"/>
    <mergeCell ref="P85:P86"/>
    <mergeCell ref="Q85:Q86"/>
    <mergeCell ref="E87:F87"/>
    <mergeCell ref="H87:I87"/>
    <mergeCell ref="K87:L87"/>
    <mergeCell ref="N87:O87"/>
    <mergeCell ref="D88:D89"/>
    <mergeCell ref="G88:G89"/>
    <mergeCell ref="J88:J89"/>
    <mergeCell ref="M88:M89"/>
    <mergeCell ref="P88:P89"/>
    <mergeCell ref="Q88:Q89"/>
    <mergeCell ref="B90:C90"/>
    <mergeCell ref="E90:F90"/>
    <mergeCell ref="H90:I90"/>
    <mergeCell ref="K90:L90"/>
    <mergeCell ref="N90:O90"/>
    <mergeCell ref="D91:D92"/>
    <mergeCell ref="G91:G92"/>
    <mergeCell ref="J91:J92"/>
    <mergeCell ref="M91:M92"/>
    <mergeCell ref="P91:P92"/>
    <mergeCell ref="Q91:Q92"/>
    <mergeCell ref="B93:C93"/>
    <mergeCell ref="E93:G93"/>
    <mergeCell ref="H93:I93"/>
    <mergeCell ref="K93:L93"/>
    <mergeCell ref="N93:O93"/>
    <mergeCell ref="D94:D95"/>
    <mergeCell ref="G94:G95"/>
    <mergeCell ref="J94:J95"/>
    <mergeCell ref="M94:M95"/>
    <mergeCell ref="P94:P95"/>
    <mergeCell ref="Q94:Q95"/>
    <mergeCell ref="E96:F96"/>
    <mergeCell ref="B97:C97"/>
    <mergeCell ref="H97:J97"/>
    <mergeCell ref="B98:C98"/>
    <mergeCell ref="H98:I98"/>
  </mergeCells>
  <printOptions headings="false" gridLines="false" gridLinesSet="true" horizontalCentered="true" verticalCentered="false"/>
  <pageMargins left="0.708333333333333" right="0.708333333333333" top="0.551388888888889" bottom="0.551388888888889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2025-08-28T13:48:43Z</dcterms:created>
  <dc:creator>Aurélie T</dc:creator>
  <dc:description/>
  <dc:language>fr-FR</dc:language>
  <cp:lastModifiedBy/>
  <cp:lastPrinted>2025-09-30T19:21:20Z</cp:lastPrinted>
  <dcterms:modified xsi:type="dcterms:W3CDTF">2025-10-28T11:46:35Z</dcterms:modified>
  <cp:revision>1</cp:revision>
  <dc:subject/>
  <dc:title>planning MCHEM 08-0925.xlsx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2025-08-09T00:00:00Z</vt:filetime>
  </property>
  <property fmtid="{D5CDD505-2E9C-101B-9397-08002B2CF9AE}" pid="3" name="LastSaved">
    <vt:filetime>2025-08-28T00:00:00Z</vt:filetime>
  </property>
  <property fmtid="{D5CDD505-2E9C-101B-9397-08002B2CF9AE}" pid="4" name="Producer">
    <vt:lpwstr>Microsoft: Print To PDF</vt:lpwstr>
  </property>
</Properties>
</file>